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工作\产品经理\Is057\产品经理产出\"/>
    </mc:Choice>
  </mc:AlternateContent>
  <xr:revisionPtr revIDLastSave="0" documentId="13_ncr:1_{092712E2-404D-466A-A07F-FB924581B9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测试记录" sheetId="1" r:id="rId1"/>
    <sheet name="题目索引" sheetId="2" r:id="rId2"/>
    <sheet name="使用说明" sheetId="3" r:id="rId3"/>
    <sheet name="模拟结果摘要" sheetId="4" r:id="rId4"/>
  </sheets>
  <calcPr calcId="191029"/>
</workbook>
</file>

<file path=xl/calcChain.xml><?xml version="1.0" encoding="utf-8"?>
<calcChain xmlns="http://schemas.openxmlformats.org/spreadsheetml/2006/main">
  <c r="E16" i="4" l="1"/>
  <c r="E15" i="4"/>
  <c r="C15" i="4"/>
  <c r="D15" i="4" s="1"/>
  <c r="E14" i="4"/>
  <c r="C14" i="4"/>
  <c r="D14" i="4" s="1"/>
  <c r="E13" i="4"/>
  <c r="C13" i="4"/>
  <c r="D13" i="4" s="1"/>
  <c r="B10" i="4"/>
  <c r="G114" i="1"/>
  <c r="E114" i="1"/>
  <c r="G113" i="1"/>
  <c r="E113" i="1"/>
  <c r="G112" i="1"/>
  <c r="E112" i="1"/>
  <c r="G111" i="1"/>
  <c r="E111" i="1"/>
  <c r="G110" i="1"/>
  <c r="E110" i="1"/>
  <c r="G109" i="1"/>
  <c r="E109" i="1"/>
  <c r="G108" i="1"/>
  <c r="E108" i="1"/>
  <c r="G107" i="1"/>
  <c r="E107" i="1"/>
  <c r="G106" i="1"/>
  <c r="E106" i="1"/>
  <c r="G105" i="1"/>
  <c r="E105" i="1"/>
  <c r="G104" i="1"/>
  <c r="E104" i="1"/>
  <c r="G103" i="1"/>
  <c r="E103" i="1"/>
  <c r="G102" i="1"/>
  <c r="E102" i="1"/>
  <c r="G101" i="1"/>
  <c r="E101" i="1"/>
  <c r="G100" i="1"/>
  <c r="E100" i="1"/>
  <c r="G99" i="1"/>
  <c r="E99" i="1"/>
  <c r="G98" i="1"/>
  <c r="E98" i="1"/>
  <c r="G97" i="1"/>
  <c r="E97" i="1"/>
  <c r="G96" i="1"/>
  <c r="E96" i="1"/>
  <c r="G95" i="1"/>
  <c r="E95" i="1"/>
  <c r="G94" i="1"/>
  <c r="E94" i="1"/>
  <c r="G93" i="1"/>
  <c r="E93" i="1"/>
  <c r="G92" i="1"/>
  <c r="E92" i="1"/>
  <c r="G91" i="1"/>
  <c r="E91" i="1"/>
  <c r="G90" i="1"/>
  <c r="E90" i="1"/>
  <c r="G89" i="1"/>
  <c r="E89" i="1"/>
  <c r="G88" i="1"/>
  <c r="E88" i="1"/>
  <c r="G87" i="1"/>
  <c r="E87" i="1"/>
  <c r="G86" i="1"/>
  <c r="E86" i="1"/>
  <c r="G85" i="1"/>
  <c r="E85" i="1"/>
  <c r="G84" i="1"/>
  <c r="E84" i="1"/>
  <c r="G83" i="1"/>
  <c r="E83" i="1"/>
  <c r="G82" i="1"/>
  <c r="E82" i="1"/>
  <c r="G81" i="1"/>
  <c r="E81" i="1"/>
  <c r="G80" i="1"/>
  <c r="E80" i="1"/>
  <c r="G79" i="1"/>
  <c r="E79" i="1"/>
  <c r="G78" i="1"/>
  <c r="E78" i="1"/>
  <c r="G77" i="1"/>
  <c r="E77" i="1"/>
  <c r="G76" i="1"/>
  <c r="E76" i="1"/>
  <c r="G75" i="1"/>
  <c r="E75" i="1"/>
  <c r="G74" i="1"/>
  <c r="E74" i="1"/>
  <c r="G73" i="1"/>
  <c r="E73" i="1"/>
  <c r="G72" i="1"/>
  <c r="E72" i="1"/>
  <c r="G71" i="1"/>
  <c r="E71" i="1"/>
  <c r="G70" i="1"/>
  <c r="E70" i="1"/>
  <c r="G69" i="1"/>
  <c r="E69" i="1"/>
  <c r="G68" i="1"/>
  <c r="E68" i="1"/>
  <c r="G67" i="1"/>
  <c r="E67" i="1"/>
  <c r="G66" i="1"/>
  <c r="E66" i="1"/>
  <c r="G65" i="1"/>
  <c r="E65" i="1"/>
  <c r="G64" i="1"/>
  <c r="E64" i="1"/>
  <c r="G63" i="1"/>
  <c r="E63" i="1"/>
  <c r="G62" i="1"/>
  <c r="E62" i="1"/>
  <c r="G61" i="1"/>
  <c r="E61" i="1"/>
  <c r="G60" i="1"/>
  <c r="E60" i="1"/>
  <c r="G59" i="1"/>
  <c r="E59" i="1"/>
  <c r="G58" i="1"/>
  <c r="E58" i="1"/>
  <c r="G57" i="1"/>
  <c r="E57" i="1"/>
  <c r="G56" i="1"/>
  <c r="E56" i="1"/>
  <c r="G55" i="1"/>
  <c r="E55" i="1"/>
  <c r="G54" i="1"/>
  <c r="E54" i="1"/>
  <c r="G53" i="1"/>
  <c r="E53" i="1"/>
  <c r="G52" i="1"/>
  <c r="E52" i="1"/>
  <c r="G51" i="1"/>
  <c r="E51" i="1"/>
  <c r="G50" i="1"/>
  <c r="E50" i="1"/>
  <c r="G49" i="1"/>
  <c r="B9" i="4" s="1"/>
  <c r="E49" i="1"/>
  <c r="G48" i="1"/>
  <c r="E48" i="1"/>
  <c r="G47" i="1"/>
  <c r="E47" i="1"/>
  <c r="G46" i="1"/>
  <c r="E46" i="1"/>
  <c r="G45" i="1"/>
  <c r="E45" i="1"/>
  <c r="G44" i="1"/>
  <c r="E44" i="1"/>
  <c r="G43" i="1"/>
  <c r="E43" i="1"/>
  <c r="G42" i="1"/>
  <c r="E42" i="1"/>
  <c r="G41" i="1"/>
  <c r="E41" i="1"/>
  <c r="G40" i="1"/>
  <c r="E40" i="1"/>
  <c r="G39" i="1"/>
  <c r="E39" i="1"/>
  <c r="G38" i="1"/>
  <c r="E38" i="1"/>
  <c r="G37" i="1"/>
  <c r="E37" i="1"/>
  <c r="G36" i="1"/>
  <c r="E36" i="1"/>
  <c r="G35" i="1"/>
  <c r="E35" i="1"/>
  <c r="G34" i="1"/>
  <c r="E34" i="1"/>
  <c r="G33" i="1"/>
  <c r="E33" i="1"/>
  <c r="G32" i="1"/>
  <c r="E32" i="1"/>
  <c r="G31" i="1"/>
  <c r="E31" i="1"/>
  <c r="G30" i="1"/>
  <c r="E30" i="1"/>
  <c r="G29" i="1"/>
  <c r="E29" i="1"/>
  <c r="G28" i="1"/>
  <c r="E28" i="1"/>
  <c r="G27" i="1"/>
  <c r="E27" i="1"/>
  <c r="G26" i="1"/>
  <c r="E26" i="1"/>
  <c r="G25" i="1"/>
  <c r="E25" i="1"/>
  <c r="G24" i="1"/>
  <c r="E24" i="1"/>
  <c r="G23" i="1"/>
  <c r="E23" i="1"/>
  <c r="G22" i="1"/>
  <c r="E22" i="1"/>
  <c r="G21" i="1"/>
  <c r="E21" i="1"/>
  <c r="G20" i="1"/>
  <c r="E20" i="1"/>
  <c r="G19" i="1"/>
  <c r="E19" i="1"/>
  <c r="G18" i="1"/>
  <c r="E18" i="1"/>
  <c r="G17" i="1"/>
  <c r="E17" i="1"/>
  <c r="G16" i="1"/>
  <c r="E16" i="1"/>
  <c r="G15" i="1"/>
  <c r="E15" i="1"/>
  <c r="G14" i="1"/>
  <c r="E14" i="1"/>
  <c r="G13" i="1"/>
  <c r="E13" i="1"/>
  <c r="G12" i="1"/>
  <c r="E12" i="1"/>
  <c r="G11" i="1"/>
  <c r="E11" i="1"/>
  <c r="G10" i="1"/>
  <c r="E10" i="1"/>
  <c r="G9" i="1"/>
  <c r="E9" i="1"/>
  <c r="G8" i="1"/>
  <c r="E8" i="1"/>
  <c r="G7" i="1"/>
  <c r="D16" i="4" s="1"/>
  <c r="E7" i="1"/>
</calcChain>
</file>

<file path=xl/sharedStrings.xml><?xml version="1.0" encoding="utf-8"?>
<sst xmlns="http://schemas.openxmlformats.org/spreadsheetml/2006/main" count="1178" uniqueCount="191">
  <si>
    <t>原型用户测试逐题记录</t>
  </si>
  <si>
    <t>用户编号</t>
  </si>
  <si>
    <t>测试日期</t>
  </si>
  <si>
    <t>测试条件</t>
  </si>
  <si>
    <t>题号</t>
  </si>
  <si>
    <t>候选事实</t>
  </si>
  <si>
    <t>用户选择</t>
  </si>
  <si>
    <t>是否正确</t>
  </si>
  <si>
    <t>完成时间（秒）</t>
  </si>
  <si>
    <t>查看路径</t>
  </si>
  <si>
    <t>误解评分</t>
  </si>
  <si>
    <t>犹豫/回看</t>
  </si>
  <si>
    <t>用户原话</t>
  </si>
  <si>
    <t>观察备注</t>
  </si>
  <si>
    <t>严重度</t>
  </si>
  <si>
    <t>U01</t>
  </si>
  <si>
    <t>A 仅候选</t>
  </si>
  <si>
    <t>正式01</t>
  </si>
  <si>
    <t>接受</t>
  </si>
  <si>
    <t>否</t>
  </si>
  <si>
    <t>模拟预估：操作顺利。</t>
  </si>
  <si>
    <t>无</t>
  </si>
  <si>
    <t>正式02</t>
  </si>
  <si>
    <t>正式03</t>
  </si>
  <si>
    <t>正式04</t>
  </si>
  <si>
    <t>暂缓</t>
  </si>
  <si>
    <t>是</t>
  </si>
  <si>
    <t>信息不够，我先暂缓。</t>
  </si>
  <si>
    <t>模拟预估：证据不足或关系含义判断出现偏差。</t>
  </si>
  <si>
    <t>P2 一般</t>
  </si>
  <si>
    <t>正式05</t>
  </si>
  <si>
    <t>正式06</t>
  </si>
  <si>
    <t>正式07</t>
  </si>
  <si>
    <t>正式08</t>
  </si>
  <si>
    <t>驳回</t>
  </si>
  <si>
    <t>正式09</t>
  </si>
  <si>
    <t>正式10</t>
  </si>
  <si>
    <t>正式11</t>
  </si>
  <si>
    <t>正式12</t>
  </si>
  <si>
    <t>正式13</t>
  </si>
  <si>
    <t>正式14</t>
  </si>
  <si>
    <t>正式15</t>
  </si>
  <si>
    <t>正式16</t>
  </si>
  <si>
    <t>正式17</t>
  </si>
  <si>
    <t>正式18</t>
  </si>
  <si>
    <t>U02</t>
  </si>
  <si>
    <t>B 候选+评分</t>
  </si>
  <si>
    <t>分数这么高，应该可以接受。</t>
  </si>
  <si>
    <t>模拟预估：将模型评分或相关路径当成事实成立的强证据。</t>
  </si>
  <si>
    <t>P1 严重</t>
  </si>
  <si>
    <t>0.863看起来很可信。</t>
  </si>
  <si>
    <t>U03</t>
  </si>
  <si>
    <t>C 候选+评分+路径</t>
  </si>
  <si>
    <t>两边都属于同一类，可能存在来源关系。</t>
  </si>
  <si>
    <t>模拟预估：查看路径后识别出相关性不足以支持候选结论。</t>
  </si>
  <si>
    <t>有路径也有高分，我倾向接受。</t>
  </si>
  <si>
    <t>U04</t>
  </si>
  <si>
    <t>ConceptNet和知识图谱有关，应该没问题。</t>
  </si>
  <si>
    <t>U05</t>
  </si>
  <si>
    <t>两个数据集都提高了，所以4跳更好。</t>
  </si>
  <si>
    <t>U06</t>
  </si>
  <si>
    <t>路径只能说明相关，暂时不能确定开发机构。</t>
  </si>
  <si>
    <t>还需要看其他指标和计算成本。</t>
  </si>
  <si>
    <t>正式测试题目索引与参考答案</t>
  </si>
  <si>
    <t>模型评分</t>
  </si>
  <si>
    <t>路径证据</t>
  </si>
  <si>
    <t>题目类型</t>
  </si>
  <si>
    <t>参考答案</t>
  </si>
  <si>
    <t>判断依据</t>
  </si>
  <si>
    <t>测试目的</t>
  </si>
  <si>
    <t>ConceptNet—属于—常识知识图谱</t>
  </si>
  <si>
    <t>ConceptNet—用于表示—常识知识（0.87）</t>
  </si>
  <si>
    <t>高分正确</t>
  </si>
  <si>
    <t>ConceptNet是常识知识图谱。</t>
  </si>
  <si>
    <t>高分且证据一致</t>
  </si>
  <si>
    <t>NELL—来源于—网页信息抽取</t>
  </si>
  <si>
    <t>NELL—从网页持续抽取—结构化知识（0.82）</t>
  </si>
  <si>
    <t>NELL通过持续网页信息抽取构建知识。</t>
  </si>
  <si>
    <t>自然语言路径</t>
  </si>
  <si>
    <t>BERT—开发机构—Google</t>
  </si>
  <si>
    <t>BERT—由研究团队提出—Google（0.74）</t>
  </si>
  <si>
    <t>中分正确</t>
  </si>
  <si>
    <t>BERT由Google研究团队提出。</t>
  </si>
  <si>
    <t>中等评分</t>
  </si>
  <si>
    <t>CN15K—来源于—ConceptNet</t>
  </si>
  <si>
    <t>CN15K—由常识图谱构建—ConceptNet（0.81）</t>
  </si>
  <si>
    <t>低分正确</t>
  </si>
  <si>
    <t>CN15K来源于ConceptNet。</t>
  </si>
  <si>
    <t>低分偏见</t>
  </si>
  <si>
    <t>NL27K—来源于—NELL</t>
  </si>
  <si>
    <t>NL27K—数据来源—NELL（0.79）</t>
  </si>
  <si>
    <t>NL27K来源于NELL。</t>
  </si>
  <si>
    <t>知识图谱补全—相关任务—链接预测</t>
  </si>
  <si>
    <t>知识图谱补全—预测缺失实体—链接预测（0.71）</t>
  </si>
  <si>
    <t>链接预测是知识图谱补全的典型任务。</t>
  </si>
  <si>
    <t>路径纠正低分怀疑</t>
  </si>
  <si>
    <t>CN15K—来源于—NELL</t>
  </si>
  <si>
    <t>CN15K和NELL均属于不确定知识图谱</t>
  </si>
  <si>
    <t>高分错误</t>
  </si>
  <si>
    <t>同属一个领域不能证明来源关系；CN15K来源于ConceptNet。</t>
  </si>
  <si>
    <t>高分和误导路径</t>
  </si>
  <si>
    <t>NL27K—来源于—ConceptNet</t>
  </si>
  <si>
    <t>NL27K用于知识图谱实验；ConceptNet属于知识图谱</t>
  </si>
  <si>
    <t>存在领域关联不能推出数据来源；NL27K来源于NELL。</t>
  </si>
  <si>
    <t>关联不等于来源</t>
  </si>
  <si>
    <t>BERT—开发机构—OpenAI</t>
  </si>
  <si>
    <t>BERT和OpenAI均与人工智能相关</t>
  </si>
  <si>
    <t>抵抗高分误导</t>
  </si>
  <si>
    <t>银川—位于—甘肃</t>
  </si>
  <si>
    <t>银川和甘肃均位于中国西北地区</t>
  </si>
  <si>
    <t>实体错误</t>
  </si>
  <si>
    <t>同属西北地区不能推出银川位于甘肃；银川位于宁夏。</t>
  </si>
  <si>
    <t>路径结论强度不足</t>
  </si>
  <si>
    <t>ConceptNet—属于—金融风控数据集</t>
  </si>
  <si>
    <t>ConceptNet和金融风控都与人工智能应用有关</t>
  </si>
  <si>
    <t>类别错误</t>
  </si>
  <si>
    <t>共享应用领域不能证明类别归属。</t>
  </si>
  <si>
    <t>过度推理</t>
  </si>
  <si>
    <t>UBERT-RM—用于—图像分割</t>
  </si>
  <si>
    <t>UBERT-RM和图像分割都使用神经网络</t>
  </si>
  <si>
    <t>关系错误</t>
  </si>
  <si>
    <t>相似技术不代表相同用途；UBERT-RM用于不确定知识图谱补全。</t>
  </si>
  <si>
    <t>共享技术路径</t>
  </si>
  <si>
    <t>宁夏大学—位于—银川</t>
  </si>
  <si>
    <t>无可用路径</t>
  </si>
  <si>
    <t>无路径正确</t>
  </si>
  <si>
    <t>宁夏大学位于银川；无路径不代表事实错误。</t>
  </si>
  <si>
    <t>无路径误解</t>
  </si>
  <si>
    <t>CN15K—包含关系数量—36</t>
  </si>
  <si>
    <t>论文数据集统计记录CN15K包含36种关系。</t>
  </si>
  <si>
    <t>无路径时使用已有信息</t>
  </si>
  <si>
    <t>NL27K—包含实体数量—15000</t>
  </si>
  <si>
    <t>无路径错误</t>
  </si>
  <si>
    <t>15000是CN15K的实体数；NL27K包含27221个实体。</t>
  </si>
  <si>
    <t>避免机械规则</t>
  </si>
  <si>
    <t>UBERT-RM—适用于—医疗知识图谱生产系统</t>
  </si>
  <si>
    <t>规则推理可用于医疗；UBERT-RM支持规则推理</t>
  </si>
  <si>
    <t>证据不足</t>
  </si>
  <si>
    <t>可能适用，但没有医疗数据测试或生产部署证据。</t>
  </si>
  <si>
    <t>可能不等于已验证</t>
  </si>
  <si>
    <t>路径跳数4—一定优于—路径跳数3</t>
  </si>
  <si>
    <t>部分数据的MRR支持4跳</t>
  </si>
  <si>
    <t>结论过度</t>
  </si>
  <si>
    <t>部分指标不能推出所有指标、数据和成本条件下都更好。</t>
  </si>
  <si>
    <t>绝对化结论</t>
  </si>
  <si>
    <t>子图跳数3—是所有场景的最佳配置</t>
  </si>
  <si>
    <t>NL27K偏向3跳；CN15K偏向2跳</t>
  </si>
  <si>
    <t>证据冲突</t>
  </si>
  <si>
    <t>不同数据集的最佳设置不同，不能确定统一配置。</t>
  </si>
  <si>
    <t>原型用户测试记录表 V1.0</t>
  </si>
  <si>
    <t>用途</t>
  </si>
  <si>
    <t>记录6至8名目标用户完成18道正式题时的行为和结果。</t>
  </si>
  <si>
    <t>填写方式</t>
  </si>
  <si>
    <t>每位用户使用U01、U02等匿名编号；每道题填写一行。</t>
  </si>
  <si>
    <t>从接受、驳回、暂缓中选择。是否正确将自动计算。</t>
  </si>
  <si>
    <t>完成时间</t>
  </si>
  <si>
    <t>填写从看到题目到提交判断所用的秒数。</t>
  </si>
  <si>
    <t>行为记录</t>
  </si>
  <si>
    <t>记录是否查看路径、是否误解评分，以及有价值的用户原话。</t>
  </si>
  <si>
    <t>重要边界</t>
  </si>
  <si>
    <t>评分和路径均为原型测试模拟信息，不是真实模型输出。</t>
  </si>
  <si>
    <t>正式测试前</t>
  </si>
  <si>
    <t>先完成审题和1场内部预测试，再开始6至8名用户的正式测试。</t>
  </si>
  <si>
    <t>指标</t>
  </si>
  <si>
    <t>模拟结果</t>
  </si>
  <si>
    <t>逐题记录数</t>
  </si>
  <si>
    <t>总体判断正确率</t>
  </si>
  <si>
    <t>平均单题耗时（秒）</t>
  </si>
  <si>
    <t>用户数</t>
  </si>
  <si>
    <t>记录数</t>
  </si>
  <si>
    <t>判断正确率</t>
  </si>
  <si>
    <t>平均耗时（秒）</t>
  </si>
  <si>
    <t>合计</t>
  </si>
  <si>
    <t>预判问题</t>
  </si>
  <si>
    <t>模拟表现</t>
  </si>
  <si>
    <t>高分错误候选可能诱发盲从</t>
  </si>
  <si>
    <t>B条件中部分用户直接接受高分错误候选。</t>
  </si>
  <si>
    <t>路径有助于识别过度推理</t>
  </si>
  <si>
    <t>C条件总体正确率高于B条件，但阅读路径增加部分耗时。</t>
  </si>
  <si>
    <t>暂缓的使用边界不清晰</t>
  </si>
  <si>
    <t>面对配置结论和未验证应用场景时，部分用户仍选择直接接受。</t>
  </si>
  <si>
    <t>无路径不等于候选错误</t>
  </si>
  <si>
    <t>模拟中仍有人因缺少路径而暂缓正确事实。</t>
  </si>
  <si>
    <t>建议</t>
  </si>
  <si>
    <t>后续动作</t>
  </si>
  <si>
    <t>测试前优化</t>
  </si>
  <si>
    <t>强化“评分不等于正确概率”，并解释路径只能作为辅助证据。</t>
  </si>
  <si>
    <t>以下结果来自6名用户的预测记录验证。</t>
    <phoneticPr fontId="11" type="noConversion"/>
  </si>
  <si>
    <t>原型用户测试模拟摘要</t>
    <phoneticPr fontId="11" type="noConversion"/>
  </si>
  <si>
    <t>用户数</t>
    <phoneticPr fontId="11" type="noConversion"/>
  </si>
  <si>
    <t>真实用户测试结果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</si>
</sst>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"/>
    <numFmt numFmtId="177" formatCode="yyyy\-mm\-dd"/>
    <numFmt numFmtId="178" formatCode="0.0%"/>
    <numFmt numFmtId="179" formatCode="0.0"/>
  </numFmts>
  <fonts count="12">
    <font>
      <sz val="11"/>
      <name val="Carlito"/>
    </font>
    <font>
      <b/>
      <sz val="16"/>
      <color rgb="FF111827"/>
      <name val="Microsoft YaHei"/>
      <family val="2"/>
      <charset val="134"/>
    </font>
    <font>
      <b/>
      <sz val="10"/>
      <name val="Microsoft YaHei"/>
      <family val="2"/>
      <charset val="134"/>
    </font>
    <font>
      <sz val="10"/>
      <name val="Microsoft YaHei"/>
      <family val="2"/>
      <charset val="134"/>
    </font>
    <font>
      <b/>
      <sz val="15"/>
      <color rgb="FF111827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sz val="9"/>
      <color rgb="FF1F2937"/>
      <name val="Microsoft YaHei"/>
      <family val="2"/>
      <charset val="134"/>
    </font>
    <font>
      <b/>
      <i/>
      <sz val="9"/>
      <color rgb="FF9A6700"/>
      <name val="Microsoft YaHei"/>
      <family val="2"/>
      <charset val="134"/>
    </font>
    <font>
      <b/>
      <sz val="10"/>
      <color rgb="FF9A6700"/>
      <name val="Microsoft YaHei"/>
      <family val="2"/>
      <charset val="134"/>
    </font>
    <font>
      <sz val="10"/>
      <color rgb="FF1F2937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EAF0F6"/>
      </patternFill>
    </fill>
    <fill>
      <patternFill patternType="solid">
        <fgColor rgb="FF244A64"/>
      </patternFill>
    </fill>
    <fill>
      <patternFill patternType="solid">
        <fgColor rgb="FFFFF7D6"/>
      </patternFill>
    </fill>
    <fill>
      <patternFill patternType="solid">
        <fgColor rgb="FFF4F7FA"/>
      </patternFill>
    </fill>
    <fill>
      <patternFill patternType="solid">
        <fgColor rgb="FFFFF1DB"/>
      </patternFill>
    </fill>
    <fill>
      <patternFill patternType="solid">
        <fgColor rgb="FF244A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244A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 style="thin">
        <color rgb="FFD9D9D9"/>
      </bottom>
      <diagonal/>
    </border>
  </borders>
  <cellStyleXfs count="2">
    <xf numFmtId="0" fontId="0" fillId="0" borderId="0"/>
    <xf numFmtId="0" fontId="10" fillId="0" borderId="0"/>
  </cellStyleXfs>
  <cellXfs count="28">
    <xf numFmtId="0" fontId="0" fillId="0" borderId="0" xfId="0"/>
    <xf numFmtId="0" fontId="0" fillId="0" borderId="1" xfId="1" applyFont="1" applyBorder="1"/>
    <xf numFmtId="0" fontId="2" fillId="2" borderId="2" xfId="1" applyFont="1" applyFill="1" applyBorder="1" applyAlignment="1">
      <alignment vertical="center"/>
    </xf>
    <xf numFmtId="0" fontId="3" fillId="0" borderId="2" xfId="1" applyFont="1" applyBorder="1" applyAlignment="1">
      <alignment vertical="center" wrapText="1"/>
    </xf>
    <xf numFmtId="0" fontId="5" fillId="3" borderId="2" xfId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vertical="center" wrapText="1"/>
    </xf>
    <xf numFmtId="176" fontId="6" fillId="0" borderId="2" xfId="1" applyNumberFormat="1" applyFont="1" applyBorder="1" applyAlignment="1">
      <alignment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6" fillId="4" borderId="4" xfId="1" applyFont="1" applyFill="1" applyBorder="1" applyAlignment="1">
      <alignment vertical="center"/>
    </xf>
    <xf numFmtId="0" fontId="6" fillId="4" borderId="5" xfId="1" applyFont="1" applyFill="1" applyBorder="1" applyAlignment="1">
      <alignment vertical="center"/>
    </xf>
    <xf numFmtId="0" fontId="6" fillId="4" borderId="4" xfId="1" applyFont="1" applyFill="1" applyBorder="1" applyAlignment="1">
      <alignment vertical="center" wrapText="1"/>
    </xf>
    <xf numFmtId="0" fontId="6" fillId="4" borderId="5" xfId="1" applyFont="1" applyFill="1" applyBorder="1" applyAlignment="1">
      <alignment vertical="center" wrapText="1"/>
    </xf>
    <xf numFmtId="0" fontId="6" fillId="5" borderId="4" xfId="1" applyFont="1" applyFill="1" applyBorder="1" applyAlignment="1">
      <alignment vertical="center" wrapText="1"/>
    </xf>
    <xf numFmtId="0" fontId="6" fillId="5" borderId="5" xfId="1" applyFont="1" applyFill="1" applyBorder="1" applyAlignment="1">
      <alignment vertical="center" wrapText="1"/>
    </xf>
    <xf numFmtId="0" fontId="6" fillId="5" borderId="4" xfId="1" applyFont="1" applyFill="1" applyBorder="1" applyAlignment="1">
      <alignment vertical="center"/>
    </xf>
    <xf numFmtId="0" fontId="6" fillId="5" borderId="5" xfId="1" applyFont="1" applyFill="1" applyBorder="1" applyAlignment="1">
      <alignment vertical="center"/>
    </xf>
    <xf numFmtId="177" fontId="6" fillId="4" borderId="4" xfId="1" applyNumberFormat="1" applyFont="1" applyFill="1" applyBorder="1" applyAlignment="1">
      <alignment vertical="center"/>
    </xf>
    <xf numFmtId="177" fontId="6" fillId="4" borderId="5" xfId="1" applyNumberFormat="1" applyFont="1" applyFill="1" applyBorder="1" applyAlignment="1">
      <alignment vertical="center"/>
    </xf>
    <xf numFmtId="1" fontId="6" fillId="4" borderId="4" xfId="1" applyNumberFormat="1" applyFont="1" applyFill="1" applyBorder="1" applyAlignment="1">
      <alignment vertical="center"/>
    </xf>
    <xf numFmtId="1" fontId="6" fillId="4" borderId="5" xfId="1" applyNumberFormat="1" applyFont="1" applyFill="1" applyBorder="1" applyAlignment="1">
      <alignment vertical="center"/>
    </xf>
    <xf numFmtId="0" fontId="5" fillId="7" borderId="0" xfId="1" applyFont="1" applyFill="1" applyAlignment="1">
      <alignment horizontal="center" vertical="center"/>
    </xf>
    <xf numFmtId="0" fontId="9" fillId="0" borderId="2" xfId="1" applyFont="1" applyBorder="1" applyAlignment="1">
      <alignment vertical="center" wrapText="1"/>
    </xf>
    <xf numFmtId="178" fontId="9" fillId="0" borderId="2" xfId="1" applyNumberFormat="1" applyFont="1" applyBorder="1" applyAlignment="1">
      <alignment vertical="center" wrapText="1"/>
    </xf>
    <xf numFmtId="179" fontId="9" fillId="0" borderId="2" xfId="1" applyNumberFormat="1" applyFont="1" applyBorder="1" applyAlignment="1">
      <alignment vertical="center" wrapText="1"/>
    </xf>
    <xf numFmtId="0" fontId="4" fillId="0" borderId="0" xfId="1" applyFont="1"/>
    <xf numFmtId="0" fontId="7" fillId="6" borderId="0" xfId="1" applyFont="1" applyFill="1" applyAlignment="1">
      <alignment vertical="center"/>
    </xf>
    <xf numFmtId="0" fontId="1" fillId="0" borderId="0" xfId="1" applyFont="1"/>
    <xf numFmtId="0" fontId="8" fillId="6" borderId="0" xfId="1" applyFont="1" applyFill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4">
    <dxf>
      <font>
        <b/>
        <color rgb="FF9A6700"/>
      </font>
      <fill>
        <patternFill>
          <bgColor rgb="FFFFF1DB"/>
        </patternFill>
      </fill>
    </dxf>
    <dxf>
      <font>
        <b/>
        <color rgb="FFB42318"/>
      </font>
      <fill>
        <patternFill>
          <bgColor rgb="FFFDE8E8"/>
        </patternFill>
      </fill>
    </dxf>
    <dxf>
      <font>
        <b/>
        <color rgb="FF16794B"/>
      </font>
      <fill>
        <patternFill>
          <bgColor rgb="FFE7F5EC"/>
        </patternFill>
      </fill>
    </dxf>
    <dxf>
      <font>
        <b/>
        <color rgb="FFB42318"/>
      </font>
      <fill>
        <patternFill>
          <b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estRecordTable" displayName="TestRecordTable" ref="A6:N150" totalsRowShown="0">
  <tableColumns count="14">
    <tableColumn id="1" xr3:uid="{00000000-0010-0000-0000-000001000000}" name="用户编号"/>
    <tableColumn id="2" xr3:uid="{00000000-0010-0000-0000-000002000000}" name="测试日期"/>
    <tableColumn id="3" xr3:uid="{00000000-0010-0000-0000-000003000000}" name="测试条件"/>
    <tableColumn id="4" xr3:uid="{00000000-0010-0000-0000-000004000000}" name="题号"/>
    <tableColumn id="5" xr3:uid="{00000000-0010-0000-0000-000005000000}" name="候选事实"/>
    <tableColumn id="6" xr3:uid="{00000000-0010-0000-0000-000006000000}" name="用户选择"/>
    <tableColumn id="7" xr3:uid="{00000000-0010-0000-0000-000007000000}" name="是否正确"/>
    <tableColumn id="8" xr3:uid="{00000000-0010-0000-0000-000008000000}" name="完成时间（秒）"/>
    <tableColumn id="9" xr3:uid="{00000000-0010-0000-0000-000009000000}" name="查看路径"/>
    <tableColumn id="10" xr3:uid="{00000000-0010-0000-0000-00000A000000}" name="误解评分"/>
    <tableColumn id="11" xr3:uid="{00000000-0010-0000-0000-00000B000000}" name="犹豫/回看"/>
    <tableColumn id="12" xr3:uid="{00000000-0010-0000-0000-00000C000000}" name="用户原话"/>
    <tableColumn id="13" xr3:uid="{00000000-0010-0000-0000-00000D000000}" name="观察备注"/>
    <tableColumn id="14" xr3:uid="{00000000-0010-0000-0000-00000E000000}" name="严重度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QuestionIndexTable" displayName="QuestionIndexTable" ref="A5:H23" totalsRowShown="0">
  <tableColumns count="8">
    <tableColumn id="1" xr3:uid="{00000000-0010-0000-0100-000001000000}" name="题号"/>
    <tableColumn id="2" xr3:uid="{00000000-0010-0000-0100-000002000000}" name="候选事实"/>
    <tableColumn id="3" xr3:uid="{00000000-0010-0000-0100-000003000000}" name="模型评分"/>
    <tableColumn id="4" xr3:uid="{00000000-0010-0000-0100-000004000000}" name="路径证据"/>
    <tableColumn id="5" xr3:uid="{00000000-0010-0000-0100-000005000000}" name="题目类型"/>
    <tableColumn id="6" xr3:uid="{00000000-0010-0000-0100-000006000000}" name="参考答案"/>
    <tableColumn id="7" xr3:uid="{00000000-0010-0000-0100-000007000000}" name="判断依据"/>
    <tableColumn id="8" xr3:uid="{00000000-0010-0000-0100-000008000000}" name="测试目的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4A64"/>
  </sheetPr>
  <dimension ref="A2:N150"/>
  <sheetViews>
    <sheetView showGridLines="0" tabSelected="1" workbookViewId="0">
      <pane xSplit="4" ySplit="6" topLeftCell="E7" activePane="bottomRight" state="frozen"/>
      <selection pane="topRight"/>
      <selection pane="bottomLeft"/>
      <selection pane="bottomRight" activeCell="G3" sqref="G3"/>
    </sheetView>
  </sheetViews>
  <sheetFormatPr defaultRowHeight="13.8"/>
  <cols>
    <col min="1" max="1" width="11" customWidth="1"/>
    <col min="2" max="2" width="13" customWidth="1"/>
    <col min="3" max="3" width="21" customWidth="1"/>
    <col min="4" max="4" width="11" customWidth="1"/>
    <col min="5" max="5" width="34" customWidth="1"/>
    <col min="6" max="7" width="12" customWidth="1"/>
    <col min="8" max="8" width="15" customWidth="1"/>
    <col min="9" max="11" width="12" customWidth="1"/>
    <col min="12" max="13" width="35" customWidth="1"/>
    <col min="14" max="14" width="14" customWidth="1"/>
  </cols>
  <sheetData>
    <row r="2" spans="1:14" ht="21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3" spans="1:1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s="25" t="s">
        <v>190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6" spans="1:14" ht="34.049999999999997" customHeight="1">
      <c r="A6" s="7" t="s">
        <v>1</v>
      </c>
      <c r="B6" s="7" t="s">
        <v>2</v>
      </c>
      <c r="C6" s="7" t="s">
        <v>3</v>
      </c>
      <c r="D6" s="7" t="s">
        <v>4</v>
      </c>
      <c r="E6" s="7" t="s">
        <v>5</v>
      </c>
      <c r="F6" s="7" t="s">
        <v>6</v>
      </c>
      <c r="G6" s="7" t="s">
        <v>7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14</v>
      </c>
    </row>
    <row r="7" spans="1:14" ht="31.95" customHeight="1">
      <c r="A7" s="8" t="s">
        <v>15</v>
      </c>
      <c r="B7" s="16">
        <v>46298</v>
      </c>
      <c r="C7" s="8" t="s">
        <v>16</v>
      </c>
      <c r="D7" s="8" t="s">
        <v>17</v>
      </c>
      <c r="E7" s="12" t="str">
        <f>VLOOKUP(D7,题目索引!$A$6:$H$23,2,FALSE)</f>
        <v>ConceptNet—属于—常识知识图谱</v>
      </c>
      <c r="F7" s="8" t="s">
        <v>18</v>
      </c>
      <c r="G7" s="14" t="str">
        <f>IF(F7="","",IF(F7=VLOOKUP(D7,题目索引!$A$6:$H$23,6,FALSE),"正确","错误"))</f>
        <v>正确</v>
      </c>
      <c r="H7" s="18">
        <v>33</v>
      </c>
      <c r="I7" s="8" t="s">
        <v>19</v>
      </c>
      <c r="J7" s="8" t="s">
        <v>19</v>
      </c>
      <c r="K7" s="8" t="s">
        <v>19</v>
      </c>
      <c r="L7" s="10"/>
      <c r="M7" s="10" t="s">
        <v>20</v>
      </c>
      <c r="N7" s="8" t="s">
        <v>21</v>
      </c>
    </row>
    <row r="8" spans="1:14" ht="31.95" customHeight="1">
      <c r="A8" s="8" t="s">
        <v>15</v>
      </c>
      <c r="B8" s="16">
        <v>46298</v>
      </c>
      <c r="C8" s="8" t="s">
        <v>16</v>
      </c>
      <c r="D8" s="8" t="s">
        <v>22</v>
      </c>
      <c r="E8" s="12" t="str">
        <f>VLOOKUP(D8,题目索引!$A$6:$H$23,2,FALSE)</f>
        <v>NELL—来源于—网页信息抽取</v>
      </c>
      <c r="F8" s="8" t="s">
        <v>18</v>
      </c>
      <c r="G8" s="14" t="str">
        <f>IF(F8="","",IF(F8=VLOOKUP(D8,题目索引!$A$6:$H$23,6,FALSE),"正确","错误"))</f>
        <v>正确</v>
      </c>
      <c r="H8" s="18">
        <v>33</v>
      </c>
      <c r="I8" s="8" t="s">
        <v>19</v>
      </c>
      <c r="J8" s="8" t="s">
        <v>19</v>
      </c>
      <c r="K8" s="8" t="s">
        <v>19</v>
      </c>
      <c r="L8" s="10"/>
      <c r="M8" s="10" t="s">
        <v>20</v>
      </c>
      <c r="N8" s="8" t="s">
        <v>21</v>
      </c>
    </row>
    <row r="9" spans="1:14" ht="31.95" customHeight="1">
      <c r="A9" s="8" t="s">
        <v>15</v>
      </c>
      <c r="B9" s="16">
        <v>46298</v>
      </c>
      <c r="C9" s="8" t="s">
        <v>16</v>
      </c>
      <c r="D9" s="8" t="s">
        <v>23</v>
      </c>
      <c r="E9" s="12" t="str">
        <f>VLOOKUP(D9,题目索引!$A$6:$H$23,2,FALSE)</f>
        <v>BERT—开发机构—Google</v>
      </c>
      <c r="F9" s="8" t="s">
        <v>18</v>
      </c>
      <c r="G9" s="14" t="str">
        <f>IF(F9="","",IF(F9=VLOOKUP(D9,题目索引!$A$6:$H$23,6,FALSE),"正确","错误"))</f>
        <v>正确</v>
      </c>
      <c r="H9" s="18">
        <v>33</v>
      </c>
      <c r="I9" s="8" t="s">
        <v>19</v>
      </c>
      <c r="J9" s="8" t="s">
        <v>19</v>
      </c>
      <c r="K9" s="8" t="s">
        <v>19</v>
      </c>
      <c r="L9" s="10"/>
      <c r="M9" s="10" t="s">
        <v>20</v>
      </c>
      <c r="N9" s="8" t="s">
        <v>21</v>
      </c>
    </row>
    <row r="10" spans="1:14" ht="31.95" customHeight="1">
      <c r="A10" s="8" t="s">
        <v>15</v>
      </c>
      <c r="B10" s="16">
        <v>46298</v>
      </c>
      <c r="C10" s="8" t="s">
        <v>16</v>
      </c>
      <c r="D10" s="8" t="s">
        <v>24</v>
      </c>
      <c r="E10" s="12" t="str">
        <f>VLOOKUP(D10,题目索引!$A$6:$H$23,2,FALSE)</f>
        <v>CN15K—来源于—ConceptNet</v>
      </c>
      <c r="F10" s="8" t="s">
        <v>25</v>
      </c>
      <c r="G10" s="14" t="str">
        <f>IF(F10="","",IF(F10=VLOOKUP(D10,题目索引!$A$6:$H$23,6,FALSE),"正确","错误"))</f>
        <v>错误</v>
      </c>
      <c r="H10" s="18">
        <v>38</v>
      </c>
      <c r="I10" s="8" t="s">
        <v>19</v>
      </c>
      <c r="J10" s="8" t="s">
        <v>19</v>
      </c>
      <c r="K10" s="8" t="s">
        <v>26</v>
      </c>
      <c r="L10" s="10" t="s">
        <v>27</v>
      </c>
      <c r="M10" s="10" t="s">
        <v>28</v>
      </c>
      <c r="N10" s="8" t="s">
        <v>29</v>
      </c>
    </row>
    <row r="11" spans="1:14" ht="31.95" customHeight="1">
      <c r="A11" s="8" t="s">
        <v>15</v>
      </c>
      <c r="B11" s="16">
        <v>46298</v>
      </c>
      <c r="C11" s="8" t="s">
        <v>16</v>
      </c>
      <c r="D11" s="8" t="s">
        <v>30</v>
      </c>
      <c r="E11" s="12" t="str">
        <f>VLOOKUP(D11,题目索引!$A$6:$H$23,2,FALSE)</f>
        <v>NL27K—来源于—NELL</v>
      </c>
      <c r="F11" s="8" t="s">
        <v>18</v>
      </c>
      <c r="G11" s="14" t="str">
        <f>IF(F11="","",IF(F11=VLOOKUP(D11,题目索引!$A$6:$H$23,6,FALSE),"正确","错误"))</f>
        <v>正确</v>
      </c>
      <c r="H11" s="18">
        <v>38</v>
      </c>
      <c r="I11" s="8" t="s">
        <v>19</v>
      </c>
      <c r="J11" s="8" t="s">
        <v>19</v>
      </c>
      <c r="K11" s="8" t="s">
        <v>19</v>
      </c>
      <c r="L11" s="10"/>
      <c r="M11" s="10" t="s">
        <v>20</v>
      </c>
      <c r="N11" s="8" t="s">
        <v>21</v>
      </c>
    </row>
    <row r="12" spans="1:14" ht="31.95" customHeight="1">
      <c r="A12" s="8" t="s">
        <v>15</v>
      </c>
      <c r="B12" s="16">
        <v>46298</v>
      </c>
      <c r="C12" s="8" t="s">
        <v>16</v>
      </c>
      <c r="D12" s="8" t="s">
        <v>31</v>
      </c>
      <c r="E12" s="12" t="str">
        <f>VLOOKUP(D12,题目索引!$A$6:$H$23,2,FALSE)</f>
        <v>知识图谱补全—相关任务—链接预测</v>
      </c>
      <c r="F12" s="8" t="s">
        <v>18</v>
      </c>
      <c r="G12" s="14" t="str">
        <f>IF(F12="","",IF(F12=VLOOKUP(D12,题目索引!$A$6:$H$23,6,FALSE),"正确","错误"))</f>
        <v>正确</v>
      </c>
      <c r="H12" s="18">
        <v>38</v>
      </c>
      <c r="I12" s="8" t="s">
        <v>19</v>
      </c>
      <c r="J12" s="8" t="s">
        <v>19</v>
      </c>
      <c r="K12" s="8" t="s">
        <v>19</v>
      </c>
      <c r="L12" s="10"/>
      <c r="M12" s="10" t="s">
        <v>20</v>
      </c>
      <c r="N12" s="8" t="s">
        <v>21</v>
      </c>
    </row>
    <row r="13" spans="1:14" ht="31.95" customHeight="1">
      <c r="A13" s="8" t="s">
        <v>15</v>
      </c>
      <c r="B13" s="16">
        <v>46298</v>
      </c>
      <c r="C13" s="8" t="s">
        <v>16</v>
      </c>
      <c r="D13" s="8" t="s">
        <v>32</v>
      </c>
      <c r="E13" s="12" t="str">
        <f>VLOOKUP(D13,题目索引!$A$6:$H$23,2,FALSE)</f>
        <v>CN15K—来源于—NELL</v>
      </c>
      <c r="F13" s="8" t="s">
        <v>25</v>
      </c>
      <c r="G13" s="14" t="str">
        <f>IF(F13="","",IF(F13=VLOOKUP(D13,题目索引!$A$6:$H$23,6,FALSE),"正确","错误"))</f>
        <v>错误</v>
      </c>
      <c r="H13" s="18">
        <v>42</v>
      </c>
      <c r="I13" s="8" t="s">
        <v>19</v>
      </c>
      <c r="J13" s="8" t="s">
        <v>19</v>
      </c>
      <c r="K13" s="8" t="s">
        <v>26</v>
      </c>
      <c r="L13" s="10"/>
      <c r="M13" s="10" t="s">
        <v>28</v>
      </c>
      <c r="N13" s="8" t="s">
        <v>29</v>
      </c>
    </row>
    <row r="14" spans="1:14" ht="31.95" customHeight="1">
      <c r="A14" s="8" t="s">
        <v>15</v>
      </c>
      <c r="B14" s="16">
        <v>46298</v>
      </c>
      <c r="C14" s="8" t="s">
        <v>16</v>
      </c>
      <c r="D14" s="8" t="s">
        <v>33</v>
      </c>
      <c r="E14" s="12" t="str">
        <f>VLOOKUP(D14,题目索引!$A$6:$H$23,2,FALSE)</f>
        <v>NL27K—来源于—ConceptNet</v>
      </c>
      <c r="F14" s="8" t="s">
        <v>34</v>
      </c>
      <c r="G14" s="14" t="str">
        <f>IF(F14="","",IF(F14=VLOOKUP(D14,题目索引!$A$6:$H$23,6,FALSE),"正确","错误"))</f>
        <v>正确</v>
      </c>
      <c r="H14" s="18">
        <v>42</v>
      </c>
      <c r="I14" s="8" t="s">
        <v>19</v>
      </c>
      <c r="J14" s="8" t="s">
        <v>19</v>
      </c>
      <c r="K14" s="8" t="s">
        <v>26</v>
      </c>
      <c r="L14" s="10"/>
      <c r="M14" s="10" t="s">
        <v>20</v>
      </c>
      <c r="N14" s="8" t="s">
        <v>21</v>
      </c>
    </row>
    <row r="15" spans="1:14" ht="31.95" customHeight="1">
      <c r="A15" s="8" t="s">
        <v>15</v>
      </c>
      <c r="B15" s="16">
        <v>46298</v>
      </c>
      <c r="C15" s="8" t="s">
        <v>16</v>
      </c>
      <c r="D15" s="8" t="s">
        <v>35</v>
      </c>
      <c r="E15" s="12" t="str">
        <f>VLOOKUP(D15,题目索引!$A$6:$H$23,2,FALSE)</f>
        <v>BERT—开发机构—OpenAI</v>
      </c>
      <c r="F15" s="8" t="s">
        <v>34</v>
      </c>
      <c r="G15" s="14" t="str">
        <f>IF(F15="","",IF(F15=VLOOKUP(D15,题目索引!$A$6:$H$23,6,FALSE),"正确","错误"))</f>
        <v>正确</v>
      </c>
      <c r="H15" s="18">
        <v>42</v>
      </c>
      <c r="I15" s="8" t="s">
        <v>19</v>
      </c>
      <c r="J15" s="8" t="s">
        <v>19</v>
      </c>
      <c r="K15" s="8" t="s">
        <v>26</v>
      </c>
      <c r="L15" s="10"/>
      <c r="M15" s="10" t="s">
        <v>20</v>
      </c>
      <c r="N15" s="8" t="s">
        <v>21</v>
      </c>
    </row>
    <row r="16" spans="1:14" ht="31.95" customHeight="1">
      <c r="A16" s="8" t="s">
        <v>15</v>
      </c>
      <c r="B16" s="16">
        <v>46298</v>
      </c>
      <c r="C16" s="8" t="s">
        <v>16</v>
      </c>
      <c r="D16" s="8" t="s">
        <v>36</v>
      </c>
      <c r="E16" s="12" t="str">
        <f>VLOOKUP(D16,题目索引!$A$6:$H$23,2,FALSE)</f>
        <v>银川—位于—甘肃</v>
      </c>
      <c r="F16" s="8" t="s">
        <v>25</v>
      </c>
      <c r="G16" s="14" t="str">
        <f>IF(F16="","",IF(F16=VLOOKUP(D16,题目索引!$A$6:$H$23,6,FALSE),"正确","错误"))</f>
        <v>错误</v>
      </c>
      <c r="H16" s="18">
        <v>42</v>
      </c>
      <c r="I16" s="8" t="s">
        <v>19</v>
      </c>
      <c r="J16" s="8" t="s">
        <v>19</v>
      </c>
      <c r="K16" s="8" t="s">
        <v>26</v>
      </c>
      <c r="L16" s="10"/>
      <c r="M16" s="10" t="s">
        <v>28</v>
      </c>
      <c r="N16" s="8" t="s">
        <v>29</v>
      </c>
    </row>
    <row r="17" spans="1:14" ht="31.95" customHeight="1">
      <c r="A17" s="8" t="s">
        <v>15</v>
      </c>
      <c r="B17" s="16">
        <v>46298</v>
      </c>
      <c r="C17" s="8" t="s">
        <v>16</v>
      </c>
      <c r="D17" s="8" t="s">
        <v>37</v>
      </c>
      <c r="E17" s="12" t="str">
        <f>VLOOKUP(D17,题目索引!$A$6:$H$23,2,FALSE)</f>
        <v>ConceptNet—属于—金融风控数据集</v>
      </c>
      <c r="F17" s="8" t="s">
        <v>34</v>
      </c>
      <c r="G17" s="14" t="str">
        <f>IF(F17="","",IF(F17=VLOOKUP(D17,题目索引!$A$6:$H$23,6,FALSE),"正确","错误"))</f>
        <v>正确</v>
      </c>
      <c r="H17" s="18">
        <v>42</v>
      </c>
      <c r="I17" s="8" t="s">
        <v>19</v>
      </c>
      <c r="J17" s="8" t="s">
        <v>19</v>
      </c>
      <c r="K17" s="8" t="s">
        <v>19</v>
      </c>
      <c r="L17" s="10"/>
      <c r="M17" s="10" t="s">
        <v>20</v>
      </c>
      <c r="N17" s="8" t="s">
        <v>21</v>
      </c>
    </row>
    <row r="18" spans="1:14" ht="31.95" customHeight="1">
      <c r="A18" s="8" t="s">
        <v>15</v>
      </c>
      <c r="B18" s="16">
        <v>46298</v>
      </c>
      <c r="C18" s="8" t="s">
        <v>16</v>
      </c>
      <c r="D18" s="8" t="s">
        <v>38</v>
      </c>
      <c r="E18" s="12" t="str">
        <f>VLOOKUP(D18,题目索引!$A$6:$H$23,2,FALSE)</f>
        <v>UBERT-RM—用于—图像分割</v>
      </c>
      <c r="F18" s="8" t="s">
        <v>34</v>
      </c>
      <c r="G18" s="14" t="str">
        <f>IF(F18="","",IF(F18=VLOOKUP(D18,题目索引!$A$6:$H$23,6,FALSE),"正确","错误"))</f>
        <v>正确</v>
      </c>
      <c r="H18" s="18">
        <v>42</v>
      </c>
      <c r="I18" s="8" t="s">
        <v>19</v>
      </c>
      <c r="J18" s="8" t="s">
        <v>19</v>
      </c>
      <c r="K18" s="8" t="s">
        <v>19</v>
      </c>
      <c r="L18" s="10"/>
      <c r="M18" s="10" t="s">
        <v>20</v>
      </c>
      <c r="N18" s="8" t="s">
        <v>21</v>
      </c>
    </row>
    <row r="19" spans="1:14" ht="31.95" customHeight="1">
      <c r="A19" s="8" t="s">
        <v>15</v>
      </c>
      <c r="B19" s="16">
        <v>46298</v>
      </c>
      <c r="C19" s="8" t="s">
        <v>16</v>
      </c>
      <c r="D19" s="8" t="s">
        <v>39</v>
      </c>
      <c r="E19" s="12" t="str">
        <f>VLOOKUP(D19,题目索引!$A$6:$H$23,2,FALSE)</f>
        <v>宁夏大学—位于—银川</v>
      </c>
      <c r="F19" s="8" t="s">
        <v>25</v>
      </c>
      <c r="G19" s="14" t="str">
        <f>IF(F19="","",IF(F19=VLOOKUP(D19,题目索引!$A$6:$H$23,6,FALSE),"正确","错误"))</f>
        <v>错误</v>
      </c>
      <c r="H19" s="18">
        <v>39</v>
      </c>
      <c r="I19" s="8" t="s">
        <v>19</v>
      </c>
      <c r="J19" s="8" t="s">
        <v>19</v>
      </c>
      <c r="K19" s="8" t="s">
        <v>26</v>
      </c>
      <c r="L19" s="10"/>
      <c r="M19" s="10" t="s">
        <v>28</v>
      </c>
      <c r="N19" s="8" t="s">
        <v>29</v>
      </c>
    </row>
    <row r="20" spans="1:14" ht="31.95" customHeight="1">
      <c r="A20" s="8" t="s">
        <v>15</v>
      </c>
      <c r="B20" s="16">
        <v>46298</v>
      </c>
      <c r="C20" s="8" t="s">
        <v>16</v>
      </c>
      <c r="D20" s="8" t="s">
        <v>40</v>
      </c>
      <c r="E20" s="12" t="str">
        <f>VLOOKUP(D20,题目索引!$A$6:$H$23,2,FALSE)</f>
        <v>CN15K—包含关系数量—36</v>
      </c>
      <c r="F20" s="8" t="s">
        <v>18</v>
      </c>
      <c r="G20" s="14" t="str">
        <f>IF(F20="","",IF(F20=VLOOKUP(D20,题目索引!$A$6:$H$23,6,FALSE),"正确","错误"))</f>
        <v>正确</v>
      </c>
      <c r="H20" s="18">
        <v>39</v>
      </c>
      <c r="I20" s="8" t="s">
        <v>19</v>
      </c>
      <c r="J20" s="8" t="s">
        <v>19</v>
      </c>
      <c r="K20" s="8" t="s">
        <v>19</v>
      </c>
      <c r="L20" s="10"/>
      <c r="M20" s="10" t="s">
        <v>20</v>
      </c>
      <c r="N20" s="8" t="s">
        <v>21</v>
      </c>
    </row>
    <row r="21" spans="1:14" ht="31.95" customHeight="1">
      <c r="A21" s="8" t="s">
        <v>15</v>
      </c>
      <c r="B21" s="16">
        <v>46298</v>
      </c>
      <c r="C21" s="8" t="s">
        <v>16</v>
      </c>
      <c r="D21" s="8" t="s">
        <v>41</v>
      </c>
      <c r="E21" s="12" t="str">
        <f>VLOOKUP(D21,题目索引!$A$6:$H$23,2,FALSE)</f>
        <v>NL27K—包含实体数量—15000</v>
      </c>
      <c r="F21" s="8" t="s">
        <v>34</v>
      </c>
      <c r="G21" s="14" t="str">
        <f>IF(F21="","",IF(F21=VLOOKUP(D21,题目索引!$A$6:$H$23,6,FALSE),"正确","错误"))</f>
        <v>正确</v>
      </c>
      <c r="H21" s="18">
        <v>39</v>
      </c>
      <c r="I21" s="8" t="s">
        <v>19</v>
      </c>
      <c r="J21" s="8" t="s">
        <v>19</v>
      </c>
      <c r="K21" s="8" t="s">
        <v>19</v>
      </c>
      <c r="L21" s="10"/>
      <c r="M21" s="10" t="s">
        <v>20</v>
      </c>
      <c r="N21" s="8" t="s">
        <v>21</v>
      </c>
    </row>
    <row r="22" spans="1:14" ht="31.95" customHeight="1">
      <c r="A22" s="8" t="s">
        <v>15</v>
      </c>
      <c r="B22" s="16">
        <v>46298</v>
      </c>
      <c r="C22" s="8" t="s">
        <v>16</v>
      </c>
      <c r="D22" s="8" t="s">
        <v>42</v>
      </c>
      <c r="E22" s="12" t="str">
        <f>VLOOKUP(D22,题目索引!$A$6:$H$23,2,FALSE)</f>
        <v>UBERT-RM—适用于—医疗知识图谱生产系统</v>
      </c>
      <c r="F22" s="8" t="s">
        <v>25</v>
      </c>
      <c r="G22" s="14" t="str">
        <f>IF(F22="","",IF(F22=VLOOKUP(D22,题目索引!$A$6:$H$23,6,FALSE),"正确","错误"))</f>
        <v>正确</v>
      </c>
      <c r="H22" s="18">
        <v>46</v>
      </c>
      <c r="I22" s="8" t="s">
        <v>19</v>
      </c>
      <c r="J22" s="8" t="s">
        <v>19</v>
      </c>
      <c r="K22" s="8" t="s">
        <v>26</v>
      </c>
      <c r="L22" s="10"/>
      <c r="M22" s="10" t="s">
        <v>20</v>
      </c>
      <c r="N22" s="8" t="s">
        <v>21</v>
      </c>
    </row>
    <row r="23" spans="1:14" ht="31.95" customHeight="1">
      <c r="A23" s="8" t="s">
        <v>15</v>
      </c>
      <c r="B23" s="16">
        <v>46298</v>
      </c>
      <c r="C23" s="8" t="s">
        <v>16</v>
      </c>
      <c r="D23" s="8" t="s">
        <v>43</v>
      </c>
      <c r="E23" s="12" t="str">
        <f>VLOOKUP(D23,题目索引!$A$6:$H$23,2,FALSE)</f>
        <v>路径跳数4—一定优于—路径跳数3</v>
      </c>
      <c r="F23" s="8" t="s">
        <v>18</v>
      </c>
      <c r="G23" s="14" t="str">
        <f>IF(F23="","",IF(F23=VLOOKUP(D23,题目索引!$A$6:$H$23,6,FALSE),"正确","错误"))</f>
        <v>错误</v>
      </c>
      <c r="H23" s="18">
        <v>46</v>
      </c>
      <c r="I23" s="8" t="s">
        <v>19</v>
      </c>
      <c r="J23" s="8" t="s">
        <v>19</v>
      </c>
      <c r="K23" s="8" t="s">
        <v>26</v>
      </c>
      <c r="L23" s="10"/>
      <c r="M23" s="10" t="s">
        <v>28</v>
      </c>
      <c r="N23" s="8" t="s">
        <v>29</v>
      </c>
    </row>
    <row r="24" spans="1:14" ht="31.95" customHeight="1">
      <c r="A24" s="8" t="s">
        <v>15</v>
      </c>
      <c r="B24" s="16">
        <v>46298</v>
      </c>
      <c r="C24" s="8" t="s">
        <v>16</v>
      </c>
      <c r="D24" s="8" t="s">
        <v>44</v>
      </c>
      <c r="E24" s="12" t="str">
        <f>VLOOKUP(D24,题目索引!$A$6:$H$23,2,FALSE)</f>
        <v>子图跳数3—是所有场景的最佳配置</v>
      </c>
      <c r="F24" s="8" t="s">
        <v>25</v>
      </c>
      <c r="G24" s="14" t="str">
        <f>IF(F24="","",IF(F24=VLOOKUP(D24,题目索引!$A$6:$H$23,6,FALSE),"正确","错误"))</f>
        <v>正确</v>
      </c>
      <c r="H24" s="18">
        <v>46</v>
      </c>
      <c r="I24" s="8" t="s">
        <v>19</v>
      </c>
      <c r="J24" s="8" t="s">
        <v>19</v>
      </c>
      <c r="K24" s="8" t="s">
        <v>26</v>
      </c>
      <c r="L24" s="10"/>
      <c r="M24" s="10" t="s">
        <v>20</v>
      </c>
      <c r="N24" s="8" t="s">
        <v>21</v>
      </c>
    </row>
    <row r="25" spans="1:14" ht="31.95" customHeight="1">
      <c r="A25" s="8" t="s">
        <v>45</v>
      </c>
      <c r="B25" s="16">
        <v>46298</v>
      </c>
      <c r="C25" s="8" t="s">
        <v>46</v>
      </c>
      <c r="D25" s="8" t="s">
        <v>17</v>
      </c>
      <c r="E25" s="12" t="str">
        <f>VLOOKUP(D25,题目索引!$A$6:$H$23,2,FALSE)</f>
        <v>ConceptNet—属于—常识知识图谱</v>
      </c>
      <c r="F25" s="8" t="s">
        <v>18</v>
      </c>
      <c r="G25" s="14" t="str">
        <f>IF(F25="","",IF(F25=VLOOKUP(D25,题目索引!$A$6:$H$23,6,FALSE),"正确","错误"))</f>
        <v>正确</v>
      </c>
      <c r="H25" s="18">
        <v>29</v>
      </c>
      <c r="I25" s="8" t="s">
        <v>19</v>
      </c>
      <c r="J25" s="8" t="s">
        <v>19</v>
      </c>
      <c r="K25" s="8" t="s">
        <v>19</v>
      </c>
      <c r="L25" s="10"/>
      <c r="M25" s="10" t="s">
        <v>20</v>
      </c>
      <c r="N25" s="8" t="s">
        <v>21</v>
      </c>
    </row>
    <row r="26" spans="1:14" ht="31.95" customHeight="1">
      <c r="A26" s="8" t="s">
        <v>45</v>
      </c>
      <c r="B26" s="16">
        <v>46298</v>
      </c>
      <c r="C26" s="8" t="s">
        <v>46</v>
      </c>
      <c r="D26" s="8" t="s">
        <v>22</v>
      </c>
      <c r="E26" s="12" t="str">
        <f>VLOOKUP(D26,题目索引!$A$6:$H$23,2,FALSE)</f>
        <v>NELL—来源于—网页信息抽取</v>
      </c>
      <c r="F26" s="8" t="s">
        <v>18</v>
      </c>
      <c r="G26" s="14" t="str">
        <f>IF(F26="","",IF(F26=VLOOKUP(D26,题目索引!$A$6:$H$23,6,FALSE),"正确","错误"))</f>
        <v>正确</v>
      </c>
      <c r="H26" s="18">
        <v>29</v>
      </c>
      <c r="I26" s="8" t="s">
        <v>19</v>
      </c>
      <c r="J26" s="8" t="s">
        <v>19</v>
      </c>
      <c r="K26" s="8" t="s">
        <v>19</v>
      </c>
      <c r="L26" s="10"/>
      <c r="M26" s="10" t="s">
        <v>20</v>
      </c>
      <c r="N26" s="8" t="s">
        <v>21</v>
      </c>
    </row>
    <row r="27" spans="1:14" ht="31.95" customHeight="1">
      <c r="A27" s="8" t="s">
        <v>45</v>
      </c>
      <c r="B27" s="16">
        <v>46298</v>
      </c>
      <c r="C27" s="8" t="s">
        <v>46</v>
      </c>
      <c r="D27" s="8" t="s">
        <v>23</v>
      </c>
      <c r="E27" s="12" t="str">
        <f>VLOOKUP(D27,题目索引!$A$6:$H$23,2,FALSE)</f>
        <v>BERT—开发机构—Google</v>
      </c>
      <c r="F27" s="8" t="s">
        <v>18</v>
      </c>
      <c r="G27" s="14" t="str">
        <f>IF(F27="","",IF(F27=VLOOKUP(D27,题目索引!$A$6:$H$23,6,FALSE),"正确","错误"))</f>
        <v>正确</v>
      </c>
      <c r="H27" s="18">
        <v>29</v>
      </c>
      <c r="I27" s="8" t="s">
        <v>19</v>
      </c>
      <c r="J27" s="8" t="s">
        <v>19</v>
      </c>
      <c r="K27" s="8" t="s">
        <v>19</v>
      </c>
      <c r="L27" s="10"/>
      <c r="M27" s="10" t="s">
        <v>20</v>
      </c>
      <c r="N27" s="8" t="s">
        <v>21</v>
      </c>
    </row>
    <row r="28" spans="1:14" ht="31.95" customHeight="1">
      <c r="A28" s="8" t="s">
        <v>45</v>
      </c>
      <c r="B28" s="16">
        <v>46298</v>
      </c>
      <c r="C28" s="8" t="s">
        <v>46</v>
      </c>
      <c r="D28" s="8" t="s">
        <v>24</v>
      </c>
      <c r="E28" s="12" t="str">
        <f>VLOOKUP(D28,题目索引!$A$6:$H$23,2,FALSE)</f>
        <v>CN15K—来源于—ConceptNet</v>
      </c>
      <c r="F28" s="8" t="s">
        <v>18</v>
      </c>
      <c r="G28" s="14" t="str">
        <f>IF(F28="","",IF(F28=VLOOKUP(D28,题目索引!$A$6:$H$23,6,FALSE),"正确","错误"))</f>
        <v>正确</v>
      </c>
      <c r="H28" s="18">
        <v>34</v>
      </c>
      <c r="I28" s="8" t="s">
        <v>19</v>
      </c>
      <c r="J28" s="8" t="s">
        <v>19</v>
      </c>
      <c r="K28" s="8" t="s">
        <v>19</v>
      </c>
      <c r="L28" s="10"/>
      <c r="M28" s="10" t="s">
        <v>20</v>
      </c>
      <c r="N28" s="8" t="s">
        <v>21</v>
      </c>
    </row>
    <row r="29" spans="1:14" ht="31.95" customHeight="1">
      <c r="A29" s="8" t="s">
        <v>45</v>
      </c>
      <c r="B29" s="16">
        <v>46298</v>
      </c>
      <c r="C29" s="8" t="s">
        <v>46</v>
      </c>
      <c r="D29" s="8" t="s">
        <v>30</v>
      </c>
      <c r="E29" s="12" t="str">
        <f>VLOOKUP(D29,题目索引!$A$6:$H$23,2,FALSE)</f>
        <v>NL27K—来源于—NELL</v>
      </c>
      <c r="F29" s="8" t="s">
        <v>18</v>
      </c>
      <c r="G29" s="14" t="str">
        <f>IF(F29="","",IF(F29=VLOOKUP(D29,题目索引!$A$6:$H$23,6,FALSE),"正确","错误"))</f>
        <v>正确</v>
      </c>
      <c r="H29" s="18">
        <v>34</v>
      </c>
      <c r="I29" s="8" t="s">
        <v>19</v>
      </c>
      <c r="J29" s="8" t="s">
        <v>19</v>
      </c>
      <c r="K29" s="8" t="s">
        <v>19</v>
      </c>
      <c r="L29" s="10"/>
      <c r="M29" s="10" t="s">
        <v>20</v>
      </c>
      <c r="N29" s="8" t="s">
        <v>21</v>
      </c>
    </row>
    <row r="30" spans="1:14" ht="31.95" customHeight="1">
      <c r="A30" s="8" t="s">
        <v>45</v>
      </c>
      <c r="B30" s="16">
        <v>46298</v>
      </c>
      <c r="C30" s="8" t="s">
        <v>46</v>
      </c>
      <c r="D30" s="8" t="s">
        <v>31</v>
      </c>
      <c r="E30" s="12" t="str">
        <f>VLOOKUP(D30,题目索引!$A$6:$H$23,2,FALSE)</f>
        <v>知识图谱补全—相关任务—链接预测</v>
      </c>
      <c r="F30" s="8" t="s">
        <v>18</v>
      </c>
      <c r="G30" s="14" t="str">
        <f>IF(F30="","",IF(F30=VLOOKUP(D30,题目索引!$A$6:$H$23,6,FALSE),"正确","错误"))</f>
        <v>正确</v>
      </c>
      <c r="H30" s="18">
        <v>34</v>
      </c>
      <c r="I30" s="8" t="s">
        <v>19</v>
      </c>
      <c r="J30" s="8" t="s">
        <v>19</v>
      </c>
      <c r="K30" s="8" t="s">
        <v>19</v>
      </c>
      <c r="L30" s="10"/>
      <c r="M30" s="10" t="s">
        <v>20</v>
      </c>
      <c r="N30" s="8" t="s">
        <v>21</v>
      </c>
    </row>
    <row r="31" spans="1:14" ht="31.95" customHeight="1">
      <c r="A31" s="8" t="s">
        <v>45</v>
      </c>
      <c r="B31" s="16">
        <v>46298</v>
      </c>
      <c r="C31" s="8" t="s">
        <v>46</v>
      </c>
      <c r="D31" s="8" t="s">
        <v>32</v>
      </c>
      <c r="E31" s="12" t="str">
        <f>VLOOKUP(D31,题目索引!$A$6:$H$23,2,FALSE)</f>
        <v>CN15K—来源于—NELL</v>
      </c>
      <c r="F31" s="8" t="s">
        <v>18</v>
      </c>
      <c r="G31" s="14" t="str">
        <f>IF(F31="","",IF(F31=VLOOKUP(D31,题目索引!$A$6:$H$23,6,FALSE),"正确","错误"))</f>
        <v>错误</v>
      </c>
      <c r="H31" s="18">
        <v>38</v>
      </c>
      <c r="I31" s="8" t="s">
        <v>19</v>
      </c>
      <c r="J31" s="8" t="s">
        <v>26</v>
      </c>
      <c r="K31" s="8" t="s">
        <v>26</v>
      </c>
      <c r="L31" s="10" t="s">
        <v>47</v>
      </c>
      <c r="M31" s="10" t="s">
        <v>48</v>
      </c>
      <c r="N31" s="8" t="s">
        <v>49</v>
      </c>
    </row>
    <row r="32" spans="1:14" ht="31.95" customHeight="1">
      <c r="A32" s="8" t="s">
        <v>45</v>
      </c>
      <c r="B32" s="16">
        <v>46298</v>
      </c>
      <c r="C32" s="8" t="s">
        <v>46</v>
      </c>
      <c r="D32" s="8" t="s">
        <v>33</v>
      </c>
      <c r="E32" s="12" t="str">
        <f>VLOOKUP(D32,题目索引!$A$6:$H$23,2,FALSE)</f>
        <v>NL27K—来源于—ConceptNet</v>
      </c>
      <c r="F32" s="8" t="s">
        <v>34</v>
      </c>
      <c r="G32" s="14" t="str">
        <f>IF(F32="","",IF(F32=VLOOKUP(D32,题目索引!$A$6:$H$23,6,FALSE),"正确","错误"))</f>
        <v>正确</v>
      </c>
      <c r="H32" s="18">
        <v>38</v>
      </c>
      <c r="I32" s="8" t="s">
        <v>19</v>
      </c>
      <c r="J32" s="8" t="s">
        <v>19</v>
      </c>
      <c r="K32" s="8" t="s">
        <v>26</v>
      </c>
      <c r="L32" s="10"/>
      <c r="M32" s="10" t="s">
        <v>20</v>
      </c>
      <c r="N32" s="8" t="s">
        <v>21</v>
      </c>
    </row>
    <row r="33" spans="1:14" ht="31.95" customHeight="1">
      <c r="A33" s="8" t="s">
        <v>45</v>
      </c>
      <c r="B33" s="16">
        <v>46298</v>
      </c>
      <c r="C33" s="8" t="s">
        <v>46</v>
      </c>
      <c r="D33" s="8" t="s">
        <v>35</v>
      </c>
      <c r="E33" s="12" t="str">
        <f>VLOOKUP(D33,题目索引!$A$6:$H$23,2,FALSE)</f>
        <v>BERT—开发机构—OpenAI</v>
      </c>
      <c r="F33" s="8" t="s">
        <v>18</v>
      </c>
      <c r="G33" s="14" t="str">
        <f>IF(F33="","",IF(F33=VLOOKUP(D33,题目索引!$A$6:$H$23,6,FALSE),"正确","错误"))</f>
        <v>错误</v>
      </c>
      <c r="H33" s="18">
        <v>38</v>
      </c>
      <c r="I33" s="8" t="s">
        <v>19</v>
      </c>
      <c r="J33" s="8" t="s">
        <v>26</v>
      </c>
      <c r="K33" s="8" t="s">
        <v>26</v>
      </c>
      <c r="L33" s="10" t="s">
        <v>50</v>
      </c>
      <c r="M33" s="10" t="s">
        <v>48</v>
      </c>
      <c r="N33" s="8" t="s">
        <v>49</v>
      </c>
    </row>
    <row r="34" spans="1:14" ht="31.95" customHeight="1">
      <c r="A34" s="8" t="s">
        <v>45</v>
      </c>
      <c r="B34" s="16">
        <v>46298</v>
      </c>
      <c r="C34" s="8" t="s">
        <v>46</v>
      </c>
      <c r="D34" s="8" t="s">
        <v>36</v>
      </c>
      <c r="E34" s="12" t="str">
        <f>VLOOKUP(D34,题目索引!$A$6:$H$23,2,FALSE)</f>
        <v>银川—位于—甘肃</v>
      </c>
      <c r="F34" s="8" t="s">
        <v>34</v>
      </c>
      <c r="G34" s="14" t="str">
        <f>IF(F34="","",IF(F34=VLOOKUP(D34,题目索引!$A$6:$H$23,6,FALSE),"正确","错误"))</f>
        <v>正确</v>
      </c>
      <c r="H34" s="18">
        <v>38</v>
      </c>
      <c r="I34" s="8" t="s">
        <v>19</v>
      </c>
      <c r="J34" s="8" t="s">
        <v>26</v>
      </c>
      <c r="K34" s="8" t="s">
        <v>19</v>
      </c>
      <c r="L34" s="10"/>
      <c r="M34" s="10" t="s">
        <v>48</v>
      </c>
      <c r="N34" s="8" t="s">
        <v>49</v>
      </c>
    </row>
    <row r="35" spans="1:14" ht="31.95" customHeight="1">
      <c r="A35" s="8" t="s">
        <v>45</v>
      </c>
      <c r="B35" s="16">
        <v>46298</v>
      </c>
      <c r="C35" s="8" t="s">
        <v>46</v>
      </c>
      <c r="D35" s="8" t="s">
        <v>37</v>
      </c>
      <c r="E35" s="12" t="str">
        <f>VLOOKUP(D35,题目索引!$A$6:$H$23,2,FALSE)</f>
        <v>ConceptNet—属于—金融风控数据集</v>
      </c>
      <c r="F35" s="8" t="s">
        <v>34</v>
      </c>
      <c r="G35" s="14" t="str">
        <f>IF(F35="","",IF(F35=VLOOKUP(D35,题目索引!$A$6:$H$23,6,FALSE),"正确","错误"))</f>
        <v>正确</v>
      </c>
      <c r="H35" s="18">
        <v>38</v>
      </c>
      <c r="I35" s="8" t="s">
        <v>19</v>
      </c>
      <c r="J35" s="8" t="s">
        <v>19</v>
      </c>
      <c r="K35" s="8" t="s">
        <v>19</v>
      </c>
      <c r="L35" s="10"/>
      <c r="M35" s="10" t="s">
        <v>20</v>
      </c>
      <c r="N35" s="8" t="s">
        <v>21</v>
      </c>
    </row>
    <row r="36" spans="1:14" ht="31.95" customHeight="1">
      <c r="A36" s="8" t="s">
        <v>45</v>
      </c>
      <c r="B36" s="16">
        <v>46298</v>
      </c>
      <c r="C36" s="8" t="s">
        <v>46</v>
      </c>
      <c r="D36" s="8" t="s">
        <v>38</v>
      </c>
      <c r="E36" s="12" t="str">
        <f>VLOOKUP(D36,题目索引!$A$6:$H$23,2,FALSE)</f>
        <v>UBERT-RM—用于—图像分割</v>
      </c>
      <c r="F36" s="8" t="s">
        <v>34</v>
      </c>
      <c r="G36" s="14" t="str">
        <f>IF(F36="","",IF(F36=VLOOKUP(D36,题目索引!$A$6:$H$23,6,FALSE),"正确","错误"))</f>
        <v>正确</v>
      </c>
      <c r="H36" s="18">
        <v>38</v>
      </c>
      <c r="I36" s="8" t="s">
        <v>19</v>
      </c>
      <c r="J36" s="8" t="s">
        <v>19</v>
      </c>
      <c r="K36" s="8" t="s">
        <v>19</v>
      </c>
      <c r="L36" s="10"/>
      <c r="M36" s="10" t="s">
        <v>20</v>
      </c>
      <c r="N36" s="8" t="s">
        <v>21</v>
      </c>
    </row>
    <row r="37" spans="1:14" ht="31.95" customHeight="1">
      <c r="A37" s="8" t="s">
        <v>45</v>
      </c>
      <c r="B37" s="16">
        <v>46298</v>
      </c>
      <c r="C37" s="8" t="s">
        <v>46</v>
      </c>
      <c r="D37" s="8" t="s">
        <v>39</v>
      </c>
      <c r="E37" s="12" t="str">
        <f>VLOOKUP(D37,题目索引!$A$6:$H$23,2,FALSE)</f>
        <v>宁夏大学—位于—银川</v>
      </c>
      <c r="F37" s="8" t="s">
        <v>18</v>
      </c>
      <c r="G37" s="14" t="str">
        <f>IF(F37="","",IF(F37=VLOOKUP(D37,题目索引!$A$6:$H$23,6,FALSE),"正确","错误"))</f>
        <v>正确</v>
      </c>
      <c r="H37" s="18">
        <v>35</v>
      </c>
      <c r="I37" s="8" t="s">
        <v>19</v>
      </c>
      <c r="J37" s="8" t="s">
        <v>19</v>
      </c>
      <c r="K37" s="8" t="s">
        <v>19</v>
      </c>
      <c r="L37" s="10"/>
      <c r="M37" s="10" t="s">
        <v>20</v>
      </c>
      <c r="N37" s="8" t="s">
        <v>21</v>
      </c>
    </row>
    <row r="38" spans="1:14" ht="31.95" customHeight="1">
      <c r="A38" s="8" t="s">
        <v>45</v>
      </c>
      <c r="B38" s="16">
        <v>46298</v>
      </c>
      <c r="C38" s="8" t="s">
        <v>46</v>
      </c>
      <c r="D38" s="8" t="s">
        <v>40</v>
      </c>
      <c r="E38" s="12" t="str">
        <f>VLOOKUP(D38,题目索引!$A$6:$H$23,2,FALSE)</f>
        <v>CN15K—包含关系数量—36</v>
      </c>
      <c r="F38" s="8" t="s">
        <v>18</v>
      </c>
      <c r="G38" s="14" t="str">
        <f>IF(F38="","",IF(F38=VLOOKUP(D38,题目索引!$A$6:$H$23,6,FALSE),"正确","错误"))</f>
        <v>正确</v>
      </c>
      <c r="H38" s="18">
        <v>35</v>
      </c>
      <c r="I38" s="8" t="s">
        <v>19</v>
      </c>
      <c r="J38" s="8" t="s">
        <v>19</v>
      </c>
      <c r="K38" s="8" t="s">
        <v>19</v>
      </c>
      <c r="L38" s="10"/>
      <c r="M38" s="10" t="s">
        <v>20</v>
      </c>
      <c r="N38" s="8" t="s">
        <v>21</v>
      </c>
    </row>
    <row r="39" spans="1:14" ht="31.95" customHeight="1">
      <c r="A39" s="8" t="s">
        <v>45</v>
      </c>
      <c r="B39" s="16">
        <v>46298</v>
      </c>
      <c r="C39" s="8" t="s">
        <v>46</v>
      </c>
      <c r="D39" s="8" t="s">
        <v>41</v>
      </c>
      <c r="E39" s="12" t="str">
        <f>VLOOKUP(D39,题目索引!$A$6:$H$23,2,FALSE)</f>
        <v>NL27K—包含实体数量—15000</v>
      </c>
      <c r="F39" s="8" t="s">
        <v>34</v>
      </c>
      <c r="G39" s="14" t="str">
        <f>IF(F39="","",IF(F39=VLOOKUP(D39,题目索引!$A$6:$H$23,6,FALSE),"正确","错误"))</f>
        <v>正确</v>
      </c>
      <c r="H39" s="18">
        <v>35</v>
      </c>
      <c r="I39" s="8" t="s">
        <v>19</v>
      </c>
      <c r="J39" s="8" t="s">
        <v>19</v>
      </c>
      <c r="K39" s="8" t="s">
        <v>19</v>
      </c>
      <c r="L39" s="10"/>
      <c r="M39" s="10" t="s">
        <v>20</v>
      </c>
      <c r="N39" s="8" t="s">
        <v>21</v>
      </c>
    </row>
    <row r="40" spans="1:14" ht="31.95" customHeight="1">
      <c r="A40" s="8" t="s">
        <v>45</v>
      </c>
      <c r="B40" s="16">
        <v>46298</v>
      </c>
      <c r="C40" s="8" t="s">
        <v>46</v>
      </c>
      <c r="D40" s="8" t="s">
        <v>42</v>
      </c>
      <c r="E40" s="12" t="str">
        <f>VLOOKUP(D40,题目索引!$A$6:$H$23,2,FALSE)</f>
        <v>UBERT-RM—适用于—医疗知识图谱生产系统</v>
      </c>
      <c r="F40" s="8" t="s">
        <v>18</v>
      </c>
      <c r="G40" s="14" t="str">
        <f>IF(F40="","",IF(F40=VLOOKUP(D40,题目索引!$A$6:$H$23,6,FALSE),"正确","错误"))</f>
        <v>错误</v>
      </c>
      <c r="H40" s="18">
        <v>42</v>
      </c>
      <c r="I40" s="8" t="s">
        <v>19</v>
      </c>
      <c r="J40" s="8" t="s">
        <v>26</v>
      </c>
      <c r="K40" s="8" t="s">
        <v>26</v>
      </c>
      <c r="L40" s="10"/>
      <c r="M40" s="10" t="s">
        <v>48</v>
      </c>
      <c r="N40" s="8" t="s">
        <v>49</v>
      </c>
    </row>
    <row r="41" spans="1:14" ht="31.95" customHeight="1">
      <c r="A41" s="8" t="s">
        <v>45</v>
      </c>
      <c r="B41" s="16">
        <v>46298</v>
      </c>
      <c r="C41" s="8" t="s">
        <v>46</v>
      </c>
      <c r="D41" s="8" t="s">
        <v>43</v>
      </c>
      <c r="E41" s="12" t="str">
        <f>VLOOKUP(D41,题目索引!$A$6:$H$23,2,FALSE)</f>
        <v>路径跳数4—一定优于—路径跳数3</v>
      </c>
      <c r="F41" s="8" t="s">
        <v>25</v>
      </c>
      <c r="G41" s="14" t="str">
        <f>IF(F41="","",IF(F41=VLOOKUP(D41,题目索引!$A$6:$H$23,6,FALSE),"正确","错误"))</f>
        <v>正确</v>
      </c>
      <c r="H41" s="18">
        <v>42</v>
      </c>
      <c r="I41" s="8" t="s">
        <v>19</v>
      </c>
      <c r="J41" s="8" t="s">
        <v>19</v>
      </c>
      <c r="K41" s="8" t="s">
        <v>26</v>
      </c>
      <c r="L41" s="10"/>
      <c r="M41" s="10" t="s">
        <v>20</v>
      </c>
      <c r="N41" s="8" t="s">
        <v>21</v>
      </c>
    </row>
    <row r="42" spans="1:14" ht="31.95" customHeight="1">
      <c r="A42" s="8" t="s">
        <v>45</v>
      </c>
      <c r="B42" s="16">
        <v>46298</v>
      </c>
      <c r="C42" s="8" t="s">
        <v>46</v>
      </c>
      <c r="D42" s="8" t="s">
        <v>44</v>
      </c>
      <c r="E42" s="12" t="str">
        <f>VLOOKUP(D42,题目索引!$A$6:$H$23,2,FALSE)</f>
        <v>子图跳数3—是所有场景的最佳配置</v>
      </c>
      <c r="F42" s="8" t="s">
        <v>18</v>
      </c>
      <c r="G42" s="14" t="str">
        <f>IF(F42="","",IF(F42=VLOOKUP(D42,题目索引!$A$6:$H$23,6,FALSE),"正确","错误"))</f>
        <v>错误</v>
      </c>
      <c r="H42" s="18">
        <v>42</v>
      </c>
      <c r="I42" s="8" t="s">
        <v>19</v>
      </c>
      <c r="J42" s="8" t="s">
        <v>26</v>
      </c>
      <c r="K42" s="8" t="s">
        <v>26</v>
      </c>
      <c r="L42" s="10"/>
      <c r="M42" s="10" t="s">
        <v>48</v>
      </c>
      <c r="N42" s="8" t="s">
        <v>49</v>
      </c>
    </row>
    <row r="43" spans="1:14" ht="31.95" customHeight="1">
      <c r="A43" s="8" t="s">
        <v>51</v>
      </c>
      <c r="B43" s="16">
        <v>46298</v>
      </c>
      <c r="C43" s="8" t="s">
        <v>52</v>
      </c>
      <c r="D43" s="8" t="s">
        <v>17</v>
      </c>
      <c r="E43" s="12" t="str">
        <f>VLOOKUP(D43,题目索引!$A$6:$H$23,2,FALSE)</f>
        <v>ConceptNet—属于—常识知识图谱</v>
      </c>
      <c r="F43" s="8" t="s">
        <v>18</v>
      </c>
      <c r="G43" s="14" t="str">
        <f>IF(F43="","",IF(F43=VLOOKUP(D43,题目索引!$A$6:$H$23,6,FALSE),"正确","错误"))</f>
        <v>正确</v>
      </c>
      <c r="H43" s="18">
        <v>26</v>
      </c>
      <c r="I43" s="8" t="s">
        <v>26</v>
      </c>
      <c r="J43" s="8" t="s">
        <v>19</v>
      </c>
      <c r="K43" s="8" t="s">
        <v>19</v>
      </c>
      <c r="L43" s="10"/>
      <c r="M43" s="10" t="s">
        <v>20</v>
      </c>
      <c r="N43" s="8" t="s">
        <v>21</v>
      </c>
    </row>
    <row r="44" spans="1:14" ht="31.95" customHeight="1">
      <c r="A44" s="8" t="s">
        <v>51</v>
      </c>
      <c r="B44" s="16">
        <v>46298</v>
      </c>
      <c r="C44" s="8" t="s">
        <v>52</v>
      </c>
      <c r="D44" s="8" t="s">
        <v>22</v>
      </c>
      <c r="E44" s="12" t="str">
        <f>VLOOKUP(D44,题目索引!$A$6:$H$23,2,FALSE)</f>
        <v>NELL—来源于—网页信息抽取</v>
      </c>
      <c r="F44" s="8" t="s">
        <v>18</v>
      </c>
      <c r="G44" s="14" t="str">
        <f>IF(F44="","",IF(F44=VLOOKUP(D44,题目索引!$A$6:$H$23,6,FALSE),"正确","错误"))</f>
        <v>正确</v>
      </c>
      <c r="H44" s="18">
        <v>26</v>
      </c>
      <c r="I44" s="8" t="s">
        <v>26</v>
      </c>
      <c r="J44" s="8" t="s">
        <v>19</v>
      </c>
      <c r="K44" s="8" t="s">
        <v>19</v>
      </c>
      <c r="L44" s="10"/>
      <c r="M44" s="10" t="s">
        <v>20</v>
      </c>
      <c r="N44" s="8" t="s">
        <v>21</v>
      </c>
    </row>
    <row r="45" spans="1:14" ht="31.95" customHeight="1">
      <c r="A45" s="8" t="s">
        <v>51</v>
      </c>
      <c r="B45" s="16">
        <v>46298</v>
      </c>
      <c r="C45" s="8" t="s">
        <v>52</v>
      </c>
      <c r="D45" s="8" t="s">
        <v>23</v>
      </c>
      <c r="E45" s="12" t="str">
        <f>VLOOKUP(D45,题目索引!$A$6:$H$23,2,FALSE)</f>
        <v>BERT—开发机构—Google</v>
      </c>
      <c r="F45" s="8" t="s">
        <v>18</v>
      </c>
      <c r="G45" s="14" t="str">
        <f>IF(F45="","",IF(F45=VLOOKUP(D45,题目索引!$A$6:$H$23,6,FALSE),"正确","错误"))</f>
        <v>正确</v>
      </c>
      <c r="H45" s="18">
        <v>26</v>
      </c>
      <c r="I45" s="8" t="s">
        <v>26</v>
      </c>
      <c r="J45" s="8" t="s">
        <v>19</v>
      </c>
      <c r="K45" s="8" t="s">
        <v>19</v>
      </c>
      <c r="L45" s="10"/>
      <c r="M45" s="10" t="s">
        <v>20</v>
      </c>
      <c r="N45" s="8" t="s">
        <v>21</v>
      </c>
    </row>
    <row r="46" spans="1:14" ht="31.95" customHeight="1">
      <c r="A46" s="8" t="s">
        <v>51</v>
      </c>
      <c r="B46" s="16">
        <v>46298</v>
      </c>
      <c r="C46" s="8" t="s">
        <v>52</v>
      </c>
      <c r="D46" s="8" t="s">
        <v>24</v>
      </c>
      <c r="E46" s="12" t="str">
        <f>VLOOKUP(D46,题目索引!$A$6:$H$23,2,FALSE)</f>
        <v>CN15K—来源于—ConceptNet</v>
      </c>
      <c r="F46" s="8" t="s">
        <v>18</v>
      </c>
      <c r="G46" s="14" t="str">
        <f>IF(F46="","",IF(F46=VLOOKUP(D46,题目索引!$A$6:$H$23,6,FALSE),"正确","错误"))</f>
        <v>正确</v>
      </c>
      <c r="H46" s="18">
        <v>31</v>
      </c>
      <c r="I46" s="8" t="s">
        <v>26</v>
      </c>
      <c r="J46" s="8" t="s">
        <v>19</v>
      </c>
      <c r="K46" s="8" t="s">
        <v>19</v>
      </c>
      <c r="L46" s="10"/>
      <c r="M46" s="10" t="s">
        <v>20</v>
      </c>
      <c r="N46" s="8" t="s">
        <v>21</v>
      </c>
    </row>
    <row r="47" spans="1:14" ht="31.95" customHeight="1">
      <c r="A47" s="8" t="s">
        <v>51</v>
      </c>
      <c r="B47" s="16">
        <v>46298</v>
      </c>
      <c r="C47" s="8" t="s">
        <v>52</v>
      </c>
      <c r="D47" s="8" t="s">
        <v>30</v>
      </c>
      <c r="E47" s="12" t="str">
        <f>VLOOKUP(D47,题目索引!$A$6:$H$23,2,FALSE)</f>
        <v>NL27K—来源于—NELL</v>
      </c>
      <c r="F47" s="8" t="s">
        <v>18</v>
      </c>
      <c r="G47" s="14" t="str">
        <f>IF(F47="","",IF(F47=VLOOKUP(D47,题目索引!$A$6:$H$23,6,FALSE),"正确","错误"))</f>
        <v>正确</v>
      </c>
      <c r="H47" s="18">
        <v>31</v>
      </c>
      <c r="I47" s="8" t="s">
        <v>26</v>
      </c>
      <c r="J47" s="8" t="s">
        <v>19</v>
      </c>
      <c r="K47" s="8" t="s">
        <v>19</v>
      </c>
      <c r="L47" s="10"/>
      <c r="M47" s="10" t="s">
        <v>20</v>
      </c>
      <c r="N47" s="8" t="s">
        <v>21</v>
      </c>
    </row>
    <row r="48" spans="1:14" ht="31.95" customHeight="1">
      <c r="A48" s="8" t="s">
        <v>51</v>
      </c>
      <c r="B48" s="16">
        <v>46298</v>
      </c>
      <c r="C48" s="8" t="s">
        <v>52</v>
      </c>
      <c r="D48" s="8" t="s">
        <v>31</v>
      </c>
      <c r="E48" s="12" t="str">
        <f>VLOOKUP(D48,题目索引!$A$6:$H$23,2,FALSE)</f>
        <v>知识图谱补全—相关任务—链接预测</v>
      </c>
      <c r="F48" s="8" t="s">
        <v>18</v>
      </c>
      <c r="G48" s="14" t="str">
        <f>IF(F48="","",IF(F48=VLOOKUP(D48,题目索引!$A$6:$H$23,6,FALSE),"正确","错误"))</f>
        <v>正确</v>
      </c>
      <c r="H48" s="18">
        <v>31</v>
      </c>
      <c r="I48" s="8" t="s">
        <v>26</v>
      </c>
      <c r="J48" s="8" t="s">
        <v>19</v>
      </c>
      <c r="K48" s="8" t="s">
        <v>19</v>
      </c>
      <c r="L48" s="10"/>
      <c r="M48" s="10" t="s">
        <v>20</v>
      </c>
      <c r="N48" s="8" t="s">
        <v>21</v>
      </c>
    </row>
    <row r="49" spans="1:14" ht="31.95" customHeight="1">
      <c r="A49" s="8" t="s">
        <v>51</v>
      </c>
      <c r="B49" s="16">
        <v>46298</v>
      </c>
      <c r="C49" s="8" t="s">
        <v>52</v>
      </c>
      <c r="D49" s="8" t="s">
        <v>32</v>
      </c>
      <c r="E49" s="12" t="str">
        <f>VLOOKUP(D49,题目索引!$A$6:$H$23,2,FALSE)</f>
        <v>CN15K—来源于—NELL</v>
      </c>
      <c r="F49" s="8" t="s">
        <v>18</v>
      </c>
      <c r="G49" s="14" t="str">
        <f>IF(F49="","",IF(F49=VLOOKUP(D49,题目索引!$A$6:$H$23,6,FALSE),"正确","错误"))</f>
        <v>错误</v>
      </c>
      <c r="H49" s="18">
        <v>35</v>
      </c>
      <c r="I49" s="8" t="s">
        <v>26</v>
      </c>
      <c r="J49" s="8" t="s">
        <v>26</v>
      </c>
      <c r="K49" s="8" t="s">
        <v>26</v>
      </c>
      <c r="L49" s="10" t="s">
        <v>53</v>
      </c>
      <c r="M49" s="10" t="s">
        <v>48</v>
      </c>
      <c r="N49" s="8" t="s">
        <v>49</v>
      </c>
    </row>
    <row r="50" spans="1:14" ht="31.95" customHeight="1">
      <c r="A50" s="8" t="s">
        <v>51</v>
      </c>
      <c r="B50" s="16">
        <v>46298</v>
      </c>
      <c r="C50" s="8" t="s">
        <v>52</v>
      </c>
      <c r="D50" s="8" t="s">
        <v>33</v>
      </c>
      <c r="E50" s="12" t="str">
        <f>VLOOKUP(D50,题目索引!$A$6:$H$23,2,FALSE)</f>
        <v>NL27K—来源于—ConceptNet</v>
      </c>
      <c r="F50" s="8" t="s">
        <v>34</v>
      </c>
      <c r="G50" s="14" t="str">
        <f>IF(F50="","",IF(F50=VLOOKUP(D50,题目索引!$A$6:$H$23,6,FALSE),"正确","错误"))</f>
        <v>正确</v>
      </c>
      <c r="H50" s="18">
        <v>35</v>
      </c>
      <c r="I50" s="8" t="s">
        <v>26</v>
      </c>
      <c r="J50" s="8" t="s">
        <v>19</v>
      </c>
      <c r="K50" s="8" t="s">
        <v>26</v>
      </c>
      <c r="L50" s="10"/>
      <c r="M50" s="10" t="s">
        <v>54</v>
      </c>
      <c r="N50" s="8" t="s">
        <v>21</v>
      </c>
    </row>
    <row r="51" spans="1:14" ht="31.95" customHeight="1">
      <c r="A51" s="8" t="s">
        <v>51</v>
      </c>
      <c r="B51" s="16">
        <v>46298</v>
      </c>
      <c r="C51" s="8" t="s">
        <v>52</v>
      </c>
      <c r="D51" s="8" t="s">
        <v>35</v>
      </c>
      <c r="E51" s="12" t="str">
        <f>VLOOKUP(D51,题目索引!$A$6:$H$23,2,FALSE)</f>
        <v>BERT—开发机构—OpenAI</v>
      </c>
      <c r="F51" s="8" t="s">
        <v>34</v>
      </c>
      <c r="G51" s="14" t="str">
        <f>IF(F51="","",IF(F51=VLOOKUP(D51,题目索引!$A$6:$H$23,6,FALSE),"正确","错误"))</f>
        <v>正确</v>
      </c>
      <c r="H51" s="18">
        <v>35</v>
      </c>
      <c r="I51" s="8" t="s">
        <v>26</v>
      </c>
      <c r="J51" s="8" t="s">
        <v>19</v>
      </c>
      <c r="K51" s="8" t="s">
        <v>26</v>
      </c>
      <c r="L51" s="10"/>
      <c r="M51" s="10" t="s">
        <v>54</v>
      </c>
      <c r="N51" s="8" t="s">
        <v>21</v>
      </c>
    </row>
    <row r="52" spans="1:14" ht="31.95" customHeight="1">
      <c r="A52" s="8" t="s">
        <v>51</v>
      </c>
      <c r="B52" s="16">
        <v>46298</v>
      </c>
      <c r="C52" s="8" t="s">
        <v>52</v>
      </c>
      <c r="D52" s="8" t="s">
        <v>36</v>
      </c>
      <c r="E52" s="12" t="str">
        <f>VLOOKUP(D52,题目索引!$A$6:$H$23,2,FALSE)</f>
        <v>银川—位于—甘肃</v>
      </c>
      <c r="F52" s="8" t="s">
        <v>34</v>
      </c>
      <c r="G52" s="14" t="str">
        <f>IF(F52="","",IF(F52=VLOOKUP(D52,题目索引!$A$6:$H$23,6,FALSE),"正确","错误"))</f>
        <v>正确</v>
      </c>
      <c r="H52" s="18">
        <v>35</v>
      </c>
      <c r="I52" s="8" t="s">
        <v>26</v>
      </c>
      <c r="J52" s="8" t="s">
        <v>19</v>
      </c>
      <c r="K52" s="8" t="s">
        <v>19</v>
      </c>
      <c r="L52" s="10"/>
      <c r="M52" s="10" t="s">
        <v>54</v>
      </c>
      <c r="N52" s="8" t="s">
        <v>21</v>
      </c>
    </row>
    <row r="53" spans="1:14" ht="31.95" customHeight="1">
      <c r="A53" s="8" t="s">
        <v>51</v>
      </c>
      <c r="B53" s="16">
        <v>46298</v>
      </c>
      <c r="C53" s="8" t="s">
        <v>52</v>
      </c>
      <c r="D53" s="8" t="s">
        <v>37</v>
      </c>
      <c r="E53" s="12" t="str">
        <f>VLOOKUP(D53,题目索引!$A$6:$H$23,2,FALSE)</f>
        <v>ConceptNet—属于—金融风控数据集</v>
      </c>
      <c r="F53" s="8" t="s">
        <v>34</v>
      </c>
      <c r="G53" s="14" t="str">
        <f>IF(F53="","",IF(F53=VLOOKUP(D53,题目索引!$A$6:$H$23,6,FALSE),"正确","错误"))</f>
        <v>正确</v>
      </c>
      <c r="H53" s="18">
        <v>35</v>
      </c>
      <c r="I53" s="8" t="s">
        <v>26</v>
      </c>
      <c r="J53" s="8" t="s">
        <v>19</v>
      </c>
      <c r="K53" s="8" t="s">
        <v>19</v>
      </c>
      <c r="L53" s="10"/>
      <c r="M53" s="10" t="s">
        <v>54</v>
      </c>
      <c r="N53" s="8" t="s">
        <v>21</v>
      </c>
    </row>
    <row r="54" spans="1:14" ht="31.95" customHeight="1">
      <c r="A54" s="8" t="s">
        <v>51</v>
      </c>
      <c r="B54" s="16">
        <v>46298</v>
      </c>
      <c r="C54" s="8" t="s">
        <v>52</v>
      </c>
      <c r="D54" s="8" t="s">
        <v>38</v>
      </c>
      <c r="E54" s="12" t="str">
        <f>VLOOKUP(D54,题目索引!$A$6:$H$23,2,FALSE)</f>
        <v>UBERT-RM—用于—图像分割</v>
      </c>
      <c r="F54" s="8" t="s">
        <v>18</v>
      </c>
      <c r="G54" s="14" t="str">
        <f>IF(F54="","",IF(F54=VLOOKUP(D54,题目索引!$A$6:$H$23,6,FALSE),"正确","错误"))</f>
        <v>错误</v>
      </c>
      <c r="H54" s="18">
        <v>35</v>
      </c>
      <c r="I54" s="8" t="s">
        <v>19</v>
      </c>
      <c r="J54" s="8" t="s">
        <v>19</v>
      </c>
      <c r="K54" s="8" t="s">
        <v>26</v>
      </c>
      <c r="L54" s="10"/>
      <c r="M54" s="10" t="s">
        <v>28</v>
      </c>
      <c r="N54" s="8" t="s">
        <v>29</v>
      </c>
    </row>
    <row r="55" spans="1:14" ht="31.95" customHeight="1">
      <c r="A55" s="8" t="s">
        <v>51</v>
      </c>
      <c r="B55" s="16">
        <v>46298</v>
      </c>
      <c r="C55" s="8" t="s">
        <v>52</v>
      </c>
      <c r="D55" s="8" t="s">
        <v>39</v>
      </c>
      <c r="E55" s="12" t="str">
        <f>VLOOKUP(D55,题目索引!$A$6:$H$23,2,FALSE)</f>
        <v>宁夏大学—位于—银川</v>
      </c>
      <c r="F55" s="8" t="s">
        <v>18</v>
      </c>
      <c r="G55" s="14" t="str">
        <f>IF(F55="","",IF(F55=VLOOKUP(D55,题目索引!$A$6:$H$23,6,FALSE),"正确","错误"))</f>
        <v>正确</v>
      </c>
      <c r="H55" s="18">
        <v>32</v>
      </c>
      <c r="I55" s="8" t="s">
        <v>19</v>
      </c>
      <c r="J55" s="8" t="s">
        <v>19</v>
      </c>
      <c r="K55" s="8" t="s">
        <v>19</v>
      </c>
      <c r="L55" s="10"/>
      <c r="M55" s="10" t="s">
        <v>20</v>
      </c>
      <c r="N55" s="8" t="s">
        <v>21</v>
      </c>
    </row>
    <row r="56" spans="1:14" ht="31.95" customHeight="1">
      <c r="A56" s="8" t="s">
        <v>51</v>
      </c>
      <c r="B56" s="16">
        <v>46298</v>
      </c>
      <c r="C56" s="8" t="s">
        <v>52</v>
      </c>
      <c r="D56" s="8" t="s">
        <v>40</v>
      </c>
      <c r="E56" s="12" t="str">
        <f>VLOOKUP(D56,题目索引!$A$6:$H$23,2,FALSE)</f>
        <v>CN15K—包含关系数量—36</v>
      </c>
      <c r="F56" s="8" t="s">
        <v>18</v>
      </c>
      <c r="G56" s="14" t="str">
        <f>IF(F56="","",IF(F56=VLOOKUP(D56,题目索引!$A$6:$H$23,6,FALSE),"正确","错误"))</f>
        <v>正确</v>
      </c>
      <c r="H56" s="18">
        <v>32</v>
      </c>
      <c r="I56" s="8" t="s">
        <v>19</v>
      </c>
      <c r="J56" s="8" t="s">
        <v>19</v>
      </c>
      <c r="K56" s="8" t="s">
        <v>19</v>
      </c>
      <c r="L56" s="10"/>
      <c r="M56" s="10" t="s">
        <v>20</v>
      </c>
      <c r="N56" s="8" t="s">
        <v>21</v>
      </c>
    </row>
    <row r="57" spans="1:14" ht="31.95" customHeight="1">
      <c r="A57" s="8" t="s">
        <v>51</v>
      </c>
      <c r="B57" s="16">
        <v>46298</v>
      </c>
      <c r="C57" s="8" t="s">
        <v>52</v>
      </c>
      <c r="D57" s="8" t="s">
        <v>41</v>
      </c>
      <c r="E57" s="12" t="str">
        <f>VLOOKUP(D57,题目索引!$A$6:$H$23,2,FALSE)</f>
        <v>NL27K—包含实体数量—15000</v>
      </c>
      <c r="F57" s="8" t="s">
        <v>34</v>
      </c>
      <c r="G57" s="14" t="str">
        <f>IF(F57="","",IF(F57=VLOOKUP(D57,题目索引!$A$6:$H$23,6,FALSE),"正确","错误"))</f>
        <v>正确</v>
      </c>
      <c r="H57" s="18">
        <v>32</v>
      </c>
      <c r="I57" s="8" t="s">
        <v>19</v>
      </c>
      <c r="J57" s="8" t="s">
        <v>19</v>
      </c>
      <c r="K57" s="8" t="s">
        <v>19</v>
      </c>
      <c r="L57" s="10"/>
      <c r="M57" s="10" t="s">
        <v>20</v>
      </c>
      <c r="N57" s="8" t="s">
        <v>21</v>
      </c>
    </row>
    <row r="58" spans="1:14" ht="31.95" customHeight="1">
      <c r="A58" s="8" t="s">
        <v>51</v>
      </c>
      <c r="B58" s="16">
        <v>46298</v>
      </c>
      <c r="C58" s="8" t="s">
        <v>52</v>
      </c>
      <c r="D58" s="8" t="s">
        <v>42</v>
      </c>
      <c r="E58" s="12" t="str">
        <f>VLOOKUP(D58,题目索引!$A$6:$H$23,2,FALSE)</f>
        <v>UBERT-RM—适用于—医疗知识图谱生产系统</v>
      </c>
      <c r="F58" s="8" t="s">
        <v>18</v>
      </c>
      <c r="G58" s="14" t="str">
        <f>IF(F58="","",IF(F58=VLOOKUP(D58,题目索引!$A$6:$H$23,6,FALSE),"正确","错误"))</f>
        <v>错误</v>
      </c>
      <c r="H58" s="18">
        <v>39</v>
      </c>
      <c r="I58" s="8" t="s">
        <v>26</v>
      </c>
      <c r="J58" s="8" t="s">
        <v>26</v>
      </c>
      <c r="K58" s="8" t="s">
        <v>26</v>
      </c>
      <c r="L58" s="10" t="s">
        <v>55</v>
      </c>
      <c r="M58" s="10" t="s">
        <v>48</v>
      </c>
      <c r="N58" s="8" t="s">
        <v>49</v>
      </c>
    </row>
    <row r="59" spans="1:14" ht="31.95" customHeight="1">
      <c r="A59" s="8" t="s">
        <v>51</v>
      </c>
      <c r="B59" s="16">
        <v>46298</v>
      </c>
      <c r="C59" s="8" t="s">
        <v>52</v>
      </c>
      <c r="D59" s="8" t="s">
        <v>43</v>
      </c>
      <c r="E59" s="12" t="str">
        <f>VLOOKUP(D59,题目索引!$A$6:$H$23,2,FALSE)</f>
        <v>路径跳数4—一定优于—路径跳数3</v>
      </c>
      <c r="F59" s="8" t="s">
        <v>25</v>
      </c>
      <c r="G59" s="14" t="str">
        <f>IF(F59="","",IF(F59=VLOOKUP(D59,题目索引!$A$6:$H$23,6,FALSE),"正确","错误"))</f>
        <v>正确</v>
      </c>
      <c r="H59" s="18">
        <v>39</v>
      </c>
      <c r="I59" s="8" t="s">
        <v>26</v>
      </c>
      <c r="J59" s="8" t="s">
        <v>19</v>
      </c>
      <c r="K59" s="8" t="s">
        <v>26</v>
      </c>
      <c r="L59" s="10"/>
      <c r="M59" s="10" t="s">
        <v>20</v>
      </c>
      <c r="N59" s="8" t="s">
        <v>21</v>
      </c>
    </row>
    <row r="60" spans="1:14" ht="31.95" customHeight="1">
      <c r="A60" s="8" t="s">
        <v>51</v>
      </c>
      <c r="B60" s="16">
        <v>46298</v>
      </c>
      <c r="C60" s="8" t="s">
        <v>52</v>
      </c>
      <c r="D60" s="8" t="s">
        <v>44</v>
      </c>
      <c r="E60" s="12" t="str">
        <f>VLOOKUP(D60,题目索引!$A$6:$H$23,2,FALSE)</f>
        <v>子图跳数3—是所有场景的最佳配置</v>
      </c>
      <c r="F60" s="8" t="s">
        <v>25</v>
      </c>
      <c r="G60" s="14" t="str">
        <f>IF(F60="","",IF(F60=VLOOKUP(D60,题目索引!$A$6:$H$23,6,FALSE),"正确","错误"))</f>
        <v>正确</v>
      </c>
      <c r="H60" s="18">
        <v>39</v>
      </c>
      <c r="I60" s="8" t="s">
        <v>26</v>
      </c>
      <c r="J60" s="8" t="s">
        <v>19</v>
      </c>
      <c r="K60" s="8" t="s">
        <v>26</v>
      </c>
      <c r="L60" s="10"/>
      <c r="M60" s="10" t="s">
        <v>20</v>
      </c>
      <c r="N60" s="8" t="s">
        <v>21</v>
      </c>
    </row>
    <row r="61" spans="1:14" ht="31.95" customHeight="1">
      <c r="A61" s="8" t="s">
        <v>56</v>
      </c>
      <c r="B61" s="16">
        <v>46298</v>
      </c>
      <c r="C61" s="8" t="s">
        <v>16</v>
      </c>
      <c r="D61" s="8" t="s">
        <v>17</v>
      </c>
      <c r="E61" s="12" t="str">
        <f>VLOOKUP(D61,题目索引!$A$6:$H$23,2,FALSE)</f>
        <v>ConceptNet—属于—常识知识图谱</v>
      </c>
      <c r="F61" s="8" t="s">
        <v>18</v>
      </c>
      <c r="G61" s="14" t="str">
        <f>IF(F61="","",IF(F61=VLOOKUP(D61,题目索引!$A$6:$H$23,6,FALSE),"正确","错误"))</f>
        <v>正确</v>
      </c>
      <c r="H61" s="18">
        <v>33</v>
      </c>
      <c r="I61" s="8" t="s">
        <v>19</v>
      </c>
      <c r="J61" s="8" t="s">
        <v>19</v>
      </c>
      <c r="K61" s="8" t="s">
        <v>19</v>
      </c>
      <c r="L61" s="10"/>
      <c r="M61" s="10" t="s">
        <v>20</v>
      </c>
      <c r="N61" s="8" t="s">
        <v>21</v>
      </c>
    </row>
    <row r="62" spans="1:14" ht="31.95" customHeight="1">
      <c r="A62" s="8" t="s">
        <v>56</v>
      </c>
      <c r="B62" s="16">
        <v>46298</v>
      </c>
      <c r="C62" s="8" t="s">
        <v>16</v>
      </c>
      <c r="D62" s="8" t="s">
        <v>22</v>
      </c>
      <c r="E62" s="12" t="str">
        <f>VLOOKUP(D62,题目索引!$A$6:$H$23,2,FALSE)</f>
        <v>NELL—来源于—网页信息抽取</v>
      </c>
      <c r="F62" s="8" t="s">
        <v>18</v>
      </c>
      <c r="G62" s="14" t="str">
        <f>IF(F62="","",IF(F62=VLOOKUP(D62,题目索引!$A$6:$H$23,6,FALSE),"正确","错误"))</f>
        <v>正确</v>
      </c>
      <c r="H62" s="18">
        <v>33</v>
      </c>
      <c r="I62" s="8" t="s">
        <v>19</v>
      </c>
      <c r="J62" s="8" t="s">
        <v>19</v>
      </c>
      <c r="K62" s="8" t="s">
        <v>19</v>
      </c>
      <c r="L62" s="10"/>
      <c r="M62" s="10" t="s">
        <v>20</v>
      </c>
      <c r="N62" s="8" t="s">
        <v>21</v>
      </c>
    </row>
    <row r="63" spans="1:14" ht="31.95" customHeight="1">
      <c r="A63" s="8" t="s">
        <v>56</v>
      </c>
      <c r="B63" s="16">
        <v>46298</v>
      </c>
      <c r="C63" s="8" t="s">
        <v>16</v>
      </c>
      <c r="D63" s="8" t="s">
        <v>23</v>
      </c>
      <c r="E63" s="12" t="str">
        <f>VLOOKUP(D63,题目索引!$A$6:$H$23,2,FALSE)</f>
        <v>BERT—开发机构—Google</v>
      </c>
      <c r="F63" s="8" t="s">
        <v>18</v>
      </c>
      <c r="G63" s="14" t="str">
        <f>IF(F63="","",IF(F63=VLOOKUP(D63,题目索引!$A$6:$H$23,6,FALSE),"正确","错误"))</f>
        <v>正确</v>
      </c>
      <c r="H63" s="18">
        <v>33</v>
      </c>
      <c r="I63" s="8" t="s">
        <v>19</v>
      </c>
      <c r="J63" s="8" t="s">
        <v>19</v>
      </c>
      <c r="K63" s="8" t="s">
        <v>19</v>
      </c>
      <c r="L63" s="10"/>
      <c r="M63" s="10" t="s">
        <v>20</v>
      </c>
      <c r="N63" s="8" t="s">
        <v>21</v>
      </c>
    </row>
    <row r="64" spans="1:14" ht="31.95" customHeight="1">
      <c r="A64" s="8" t="s">
        <v>56</v>
      </c>
      <c r="B64" s="16">
        <v>46298</v>
      </c>
      <c r="C64" s="8" t="s">
        <v>16</v>
      </c>
      <c r="D64" s="8" t="s">
        <v>24</v>
      </c>
      <c r="E64" s="12" t="str">
        <f>VLOOKUP(D64,题目索引!$A$6:$H$23,2,FALSE)</f>
        <v>CN15K—来源于—ConceptNet</v>
      </c>
      <c r="F64" s="8" t="s">
        <v>18</v>
      </c>
      <c r="G64" s="14" t="str">
        <f>IF(F64="","",IF(F64=VLOOKUP(D64,题目索引!$A$6:$H$23,6,FALSE),"正确","错误"))</f>
        <v>正确</v>
      </c>
      <c r="H64" s="18">
        <v>38</v>
      </c>
      <c r="I64" s="8" t="s">
        <v>19</v>
      </c>
      <c r="J64" s="8" t="s">
        <v>19</v>
      </c>
      <c r="K64" s="8" t="s">
        <v>19</v>
      </c>
      <c r="L64" s="10"/>
      <c r="M64" s="10" t="s">
        <v>20</v>
      </c>
      <c r="N64" s="8" t="s">
        <v>21</v>
      </c>
    </row>
    <row r="65" spans="1:14" ht="31.95" customHeight="1">
      <c r="A65" s="8" t="s">
        <v>56</v>
      </c>
      <c r="B65" s="16">
        <v>46298</v>
      </c>
      <c r="C65" s="8" t="s">
        <v>16</v>
      </c>
      <c r="D65" s="8" t="s">
        <v>30</v>
      </c>
      <c r="E65" s="12" t="str">
        <f>VLOOKUP(D65,题目索引!$A$6:$H$23,2,FALSE)</f>
        <v>NL27K—来源于—NELL</v>
      </c>
      <c r="F65" s="8" t="s">
        <v>25</v>
      </c>
      <c r="G65" s="14" t="str">
        <f>IF(F65="","",IF(F65=VLOOKUP(D65,题目索引!$A$6:$H$23,6,FALSE),"正确","错误"))</f>
        <v>错误</v>
      </c>
      <c r="H65" s="18">
        <v>38</v>
      </c>
      <c r="I65" s="8" t="s">
        <v>19</v>
      </c>
      <c r="J65" s="8" t="s">
        <v>19</v>
      </c>
      <c r="K65" s="8" t="s">
        <v>26</v>
      </c>
      <c r="L65" s="10"/>
      <c r="M65" s="10" t="s">
        <v>28</v>
      </c>
      <c r="N65" s="8" t="s">
        <v>29</v>
      </c>
    </row>
    <row r="66" spans="1:14" ht="31.95" customHeight="1">
      <c r="A66" s="8" t="s">
        <v>56</v>
      </c>
      <c r="B66" s="16">
        <v>46298</v>
      </c>
      <c r="C66" s="8" t="s">
        <v>16</v>
      </c>
      <c r="D66" s="8" t="s">
        <v>31</v>
      </c>
      <c r="E66" s="12" t="str">
        <f>VLOOKUP(D66,题目索引!$A$6:$H$23,2,FALSE)</f>
        <v>知识图谱补全—相关任务—链接预测</v>
      </c>
      <c r="F66" s="8" t="s">
        <v>18</v>
      </c>
      <c r="G66" s="14" t="str">
        <f>IF(F66="","",IF(F66=VLOOKUP(D66,题目索引!$A$6:$H$23,6,FALSE),"正确","错误"))</f>
        <v>正确</v>
      </c>
      <c r="H66" s="18">
        <v>38</v>
      </c>
      <c r="I66" s="8" t="s">
        <v>19</v>
      </c>
      <c r="J66" s="8" t="s">
        <v>19</v>
      </c>
      <c r="K66" s="8" t="s">
        <v>19</v>
      </c>
      <c r="L66" s="10"/>
      <c r="M66" s="10" t="s">
        <v>20</v>
      </c>
      <c r="N66" s="8" t="s">
        <v>21</v>
      </c>
    </row>
    <row r="67" spans="1:14" ht="31.95" customHeight="1">
      <c r="A67" s="8" t="s">
        <v>56</v>
      </c>
      <c r="B67" s="16">
        <v>46298</v>
      </c>
      <c r="C67" s="8" t="s">
        <v>16</v>
      </c>
      <c r="D67" s="8" t="s">
        <v>32</v>
      </c>
      <c r="E67" s="12" t="str">
        <f>VLOOKUP(D67,题目索引!$A$6:$H$23,2,FALSE)</f>
        <v>CN15K—来源于—NELL</v>
      </c>
      <c r="F67" s="8" t="s">
        <v>34</v>
      </c>
      <c r="G67" s="14" t="str">
        <f>IF(F67="","",IF(F67=VLOOKUP(D67,题目索引!$A$6:$H$23,6,FALSE),"正确","错误"))</f>
        <v>正确</v>
      </c>
      <c r="H67" s="18">
        <v>42</v>
      </c>
      <c r="I67" s="8" t="s">
        <v>19</v>
      </c>
      <c r="J67" s="8" t="s">
        <v>19</v>
      </c>
      <c r="K67" s="8" t="s">
        <v>26</v>
      </c>
      <c r="L67" s="10"/>
      <c r="M67" s="10" t="s">
        <v>20</v>
      </c>
      <c r="N67" s="8" t="s">
        <v>21</v>
      </c>
    </row>
    <row r="68" spans="1:14" ht="31.95" customHeight="1">
      <c r="A68" s="8" t="s">
        <v>56</v>
      </c>
      <c r="B68" s="16">
        <v>46298</v>
      </c>
      <c r="C68" s="8" t="s">
        <v>16</v>
      </c>
      <c r="D68" s="8" t="s">
        <v>33</v>
      </c>
      <c r="E68" s="12" t="str">
        <f>VLOOKUP(D68,题目索引!$A$6:$H$23,2,FALSE)</f>
        <v>NL27K—来源于—ConceptNet</v>
      </c>
      <c r="F68" s="8" t="s">
        <v>18</v>
      </c>
      <c r="G68" s="14" t="str">
        <f>IF(F68="","",IF(F68=VLOOKUP(D68,题目索引!$A$6:$H$23,6,FALSE),"正确","错误"))</f>
        <v>错误</v>
      </c>
      <c r="H68" s="18">
        <v>42</v>
      </c>
      <c r="I68" s="8" t="s">
        <v>19</v>
      </c>
      <c r="J68" s="8" t="s">
        <v>19</v>
      </c>
      <c r="K68" s="8" t="s">
        <v>26</v>
      </c>
      <c r="L68" s="10" t="s">
        <v>57</v>
      </c>
      <c r="M68" s="10" t="s">
        <v>28</v>
      </c>
      <c r="N68" s="8" t="s">
        <v>29</v>
      </c>
    </row>
    <row r="69" spans="1:14" ht="31.95" customHeight="1">
      <c r="A69" s="8" t="s">
        <v>56</v>
      </c>
      <c r="B69" s="16">
        <v>46298</v>
      </c>
      <c r="C69" s="8" t="s">
        <v>16</v>
      </c>
      <c r="D69" s="8" t="s">
        <v>35</v>
      </c>
      <c r="E69" s="12" t="str">
        <f>VLOOKUP(D69,题目索引!$A$6:$H$23,2,FALSE)</f>
        <v>BERT—开发机构—OpenAI</v>
      </c>
      <c r="F69" s="8" t="s">
        <v>34</v>
      </c>
      <c r="G69" s="14" t="str">
        <f>IF(F69="","",IF(F69=VLOOKUP(D69,题目索引!$A$6:$H$23,6,FALSE),"正确","错误"))</f>
        <v>正确</v>
      </c>
      <c r="H69" s="18">
        <v>42</v>
      </c>
      <c r="I69" s="8" t="s">
        <v>19</v>
      </c>
      <c r="J69" s="8" t="s">
        <v>19</v>
      </c>
      <c r="K69" s="8" t="s">
        <v>26</v>
      </c>
      <c r="L69" s="10"/>
      <c r="M69" s="10" t="s">
        <v>20</v>
      </c>
      <c r="N69" s="8" t="s">
        <v>21</v>
      </c>
    </row>
    <row r="70" spans="1:14" ht="31.95" customHeight="1">
      <c r="A70" s="8" t="s">
        <v>56</v>
      </c>
      <c r="B70" s="16">
        <v>46298</v>
      </c>
      <c r="C70" s="8" t="s">
        <v>16</v>
      </c>
      <c r="D70" s="8" t="s">
        <v>36</v>
      </c>
      <c r="E70" s="12" t="str">
        <f>VLOOKUP(D70,题目索引!$A$6:$H$23,2,FALSE)</f>
        <v>银川—位于—甘肃</v>
      </c>
      <c r="F70" s="8" t="s">
        <v>34</v>
      </c>
      <c r="G70" s="14" t="str">
        <f>IF(F70="","",IF(F70=VLOOKUP(D70,题目索引!$A$6:$H$23,6,FALSE),"正确","错误"))</f>
        <v>正确</v>
      </c>
      <c r="H70" s="18">
        <v>42</v>
      </c>
      <c r="I70" s="8" t="s">
        <v>19</v>
      </c>
      <c r="J70" s="8" t="s">
        <v>19</v>
      </c>
      <c r="K70" s="8" t="s">
        <v>19</v>
      </c>
      <c r="L70" s="10"/>
      <c r="M70" s="10" t="s">
        <v>20</v>
      </c>
      <c r="N70" s="8" t="s">
        <v>21</v>
      </c>
    </row>
    <row r="71" spans="1:14" ht="31.95" customHeight="1">
      <c r="A71" s="8" t="s">
        <v>56</v>
      </c>
      <c r="B71" s="16">
        <v>46298</v>
      </c>
      <c r="C71" s="8" t="s">
        <v>16</v>
      </c>
      <c r="D71" s="8" t="s">
        <v>37</v>
      </c>
      <c r="E71" s="12" t="str">
        <f>VLOOKUP(D71,题目索引!$A$6:$H$23,2,FALSE)</f>
        <v>ConceptNet—属于—金融风控数据集</v>
      </c>
      <c r="F71" s="8" t="s">
        <v>18</v>
      </c>
      <c r="G71" s="14" t="str">
        <f>IF(F71="","",IF(F71=VLOOKUP(D71,题目索引!$A$6:$H$23,6,FALSE),"正确","错误"))</f>
        <v>错误</v>
      </c>
      <c r="H71" s="18">
        <v>42</v>
      </c>
      <c r="I71" s="8" t="s">
        <v>19</v>
      </c>
      <c r="J71" s="8" t="s">
        <v>19</v>
      </c>
      <c r="K71" s="8" t="s">
        <v>26</v>
      </c>
      <c r="L71" s="10"/>
      <c r="M71" s="10" t="s">
        <v>28</v>
      </c>
      <c r="N71" s="8" t="s">
        <v>29</v>
      </c>
    </row>
    <row r="72" spans="1:14" ht="31.95" customHeight="1">
      <c r="A72" s="8" t="s">
        <v>56</v>
      </c>
      <c r="B72" s="16">
        <v>46298</v>
      </c>
      <c r="C72" s="8" t="s">
        <v>16</v>
      </c>
      <c r="D72" s="8" t="s">
        <v>38</v>
      </c>
      <c r="E72" s="12" t="str">
        <f>VLOOKUP(D72,题目索引!$A$6:$H$23,2,FALSE)</f>
        <v>UBERT-RM—用于—图像分割</v>
      </c>
      <c r="F72" s="8" t="s">
        <v>34</v>
      </c>
      <c r="G72" s="14" t="str">
        <f>IF(F72="","",IF(F72=VLOOKUP(D72,题目索引!$A$6:$H$23,6,FALSE),"正确","错误"))</f>
        <v>正确</v>
      </c>
      <c r="H72" s="18">
        <v>42</v>
      </c>
      <c r="I72" s="8" t="s">
        <v>19</v>
      </c>
      <c r="J72" s="8" t="s">
        <v>19</v>
      </c>
      <c r="K72" s="8" t="s">
        <v>19</v>
      </c>
      <c r="L72" s="10"/>
      <c r="M72" s="10" t="s">
        <v>20</v>
      </c>
      <c r="N72" s="8" t="s">
        <v>21</v>
      </c>
    </row>
    <row r="73" spans="1:14" ht="31.95" customHeight="1">
      <c r="A73" s="8" t="s">
        <v>56</v>
      </c>
      <c r="B73" s="16">
        <v>46298</v>
      </c>
      <c r="C73" s="8" t="s">
        <v>16</v>
      </c>
      <c r="D73" s="8" t="s">
        <v>39</v>
      </c>
      <c r="E73" s="12" t="str">
        <f>VLOOKUP(D73,题目索引!$A$6:$H$23,2,FALSE)</f>
        <v>宁夏大学—位于—银川</v>
      </c>
      <c r="F73" s="8" t="s">
        <v>18</v>
      </c>
      <c r="G73" s="14" t="str">
        <f>IF(F73="","",IF(F73=VLOOKUP(D73,题目索引!$A$6:$H$23,6,FALSE),"正确","错误"))</f>
        <v>正确</v>
      </c>
      <c r="H73" s="18">
        <v>39</v>
      </c>
      <c r="I73" s="8" t="s">
        <v>19</v>
      </c>
      <c r="J73" s="8" t="s">
        <v>19</v>
      </c>
      <c r="K73" s="8" t="s">
        <v>19</v>
      </c>
      <c r="L73" s="10"/>
      <c r="M73" s="10" t="s">
        <v>20</v>
      </c>
      <c r="N73" s="8" t="s">
        <v>21</v>
      </c>
    </row>
    <row r="74" spans="1:14" ht="31.95" customHeight="1">
      <c r="A74" s="8" t="s">
        <v>56</v>
      </c>
      <c r="B74" s="16">
        <v>46298</v>
      </c>
      <c r="C74" s="8" t="s">
        <v>16</v>
      </c>
      <c r="D74" s="8" t="s">
        <v>40</v>
      </c>
      <c r="E74" s="12" t="str">
        <f>VLOOKUP(D74,题目索引!$A$6:$H$23,2,FALSE)</f>
        <v>CN15K—包含关系数量—36</v>
      </c>
      <c r="F74" s="8" t="s">
        <v>18</v>
      </c>
      <c r="G74" s="14" t="str">
        <f>IF(F74="","",IF(F74=VLOOKUP(D74,题目索引!$A$6:$H$23,6,FALSE),"正确","错误"))</f>
        <v>正确</v>
      </c>
      <c r="H74" s="18">
        <v>39</v>
      </c>
      <c r="I74" s="8" t="s">
        <v>19</v>
      </c>
      <c r="J74" s="8" t="s">
        <v>19</v>
      </c>
      <c r="K74" s="8" t="s">
        <v>19</v>
      </c>
      <c r="L74" s="10"/>
      <c r="M74" s="10" t="s">
        <v>20</v>
      </c>
      <c r="N74" s="8" t="s">
        <v>21</v>
      </c>
    </row>
    <row r="75" spans="1:14" ht="31.95" customHeight="1">
      <c r="A75" s="8" t="s">
        <v>56</v>
      </c>
      <c r="B75" s="16">
        <v>46298</v>
      </c>
      <c r="C75" s="8" t="s">
        <v>16</v>
      </c>
      <c r="D75" s="8" t="s">
        <v>41</v>
      </c>
      <c r="E75" s="12" t="str">
        <f>VLOOKUP(D75,题目索引!$A$6:$H$23,2,FALSE)</f>
        <v>NL27K—包含实体数量—15000</v>
      </c>
      <c r="F75" s="8" t="s">
        <v>34</v>
      </c>
      <c r="G75" s="14" t="str">
        <f>IF(F75="","",IF(F75=VLOOKUP(D75,题目索引!$A$6:$H$23,6,FALSE),"正确","错误"))</f>
        <v>正确</v>
      </c>
      <c r="H75" s="18">
        <v>39</v>
      </c>
      <c r="I75" s="8" t="s">
        <v>19</v>
      </c>
      <c r="J75" s="8" t="s">
        <v>19</v>
      </c>
      <c r="K75" s="8" t="s">
        <v>19</v>
      </c>
      <c r="L75" s="10"/>
      <c r="M75" s="10" t="s">
        <v>20</v>
      </c>
      <c r="N75" s="8" t="s">
        <v>21</v>
      </c>
    </row>
    <row r="76" spans="1:14" ht="31.95" customHeight="1">
      <c r="A76" s="8" t="s">
        <v>56</v>
      </c>
      <c r="B76" s="16">
        <v>46298</v>
      </c>
      <c r="C76" s="8" t="s">
        <v>16</v>
      </c>
      <c r="D76" s="8" t="s">
        <v>42</v>
      </c>
      <c r="E76" s="12" t="str">
        <f>VLOOKUP(D76,题目索引!$A$6:$H$23,2,FALSE)</f>
        <v>UBERT-RM—适用于—医疗知识图谱生产系统</v>
      </c>
      <c r="F76" s="8" t="s">
        <v>25</v>
      </c>
      <c r="G76" s="14" t="str">
        <f>IF(F76="","",IF(F76=VLOOKUP(D76,题目索引!$A$6:$H$23,6,FALSE),"正确","错误"))</f>
        <v>正确</v>
      </c>
      <c r="H76" s="18">
        <v>46</v>
      </c>
      <c r="I76" s="8" t="s">
        <v>19</v>
      </c>
      <c r="J76" s="8" t="s">
        <v>19</v>
      </c>
      <c r="K76" s="8" t="s">
        <v>26</v>
      </c>
      <c r="L76" s="10"/>
      <c r="M76" s="10" t="s">
        <v>20</v>
      </c>
      <c r="N76" s="8" t="s">
        <v>21</v>
      </c>
    </row>
    <row r="77" spans="1:14" ht="31.95" customHeight="1">
      <c r="A77" s="8" t="s">
        <v>56</v>
      </c>
      <c r="B77" s="16">
        <v>46298</v>
      </c>
      <c r="C77" s="8" t="s">
        <v>16</v>
      </c>
      <c r="D77" s="8" t="s">
        <v>43</v>
      </c>
      <c r="E77" s="12" t="str">
        <f>VLOOKUP(D77,题目索引!$A$6:$H$23,2,FALSE)</f>
        <v>路径跳数4—一定优于—路径跳数3</v>
      </c>
      <c r="F77" s="8" t="s">
        <v>25</v>
      </c>
      <c r="G77" s="14" t="str">
        <f>IF(F77="","",IF(F77=VLOOKUP(D77,题目索引!$A$6:$H$23,6,FALSE),"正确","错误"))</f>
        <v>正确</v>
      </c>
      <c r="H77" s="18">
        <v>46</v>
      </c>
      <c r="I77" s="8" t="s">
        <v>19</v>
      </c>
      <c r="J77" s="8" t="s">
        <v>19</v>
      </c>
      <c r="K77" s="8" t="s">
        <v>26</v>
      </c>
      <c r="L77" s="10"/>
      <c r="M77" s="10" t="s">
        <v>20</v>
      </c>
      <c r="N77" s="8" t="s">
        <v>21</v>
      </c>
    </row>
    <row r="78" spans="1:14" ht="31.95" customHeight="1">
      <c r="A78" s="8" t="s">
        <v>56</v>
      </c>
      <c r="B78" s="16">
        <v>46298</v>
      </c>
      <c r="C78" s="8" t="s">
        <v>16</v>
      </c>
      <c r="D78" s="8" t="s">
        <v>44</v>
      </c>
      <c r="E78" s="12" t="str">
        <f>VLOOKUP(D78,题目索引!$A$6:$H$23,2,FALSE)</f>
        <v>子图跳数3—是所有场景的最佳配置</v>
      </c>
      <c r="F78" s="8" t="s">
        <v>18</v>
      </c>
      <c r="G78" s="14" t="str">
        <f>IF(F78="","",IF(F78=VLOOKUP(D78,题目索引!$A$6:$H$23,6,FALSE),"正确","错误"))</f>
        <v>错误</v>
      </c>
      <c r="H78" s="18">
        <v>46</v>
      </c>
      <c r="I78" s="8" t="s">
        <v>19</v>
      </c>
      <c r="J78" s="8" t="s">
        <v>19</v>
      </c>
      <c r="K78" s="8" t="s">
        <v>26</v>
      </c>
      <c r="L78" s="10"/>
      <c r="M78" s="10" t="s">
        <v>28</v>
      </c>
      <c r="N78" s="8" t="s">
        <v>29</v>
      </c>
    </row>
    <row r="79" spans="1:14" ht="31.95" customHeight="1">
      <c r="A79" s="8" t="s">
        <v>58</v>
      </c>
      <c r="B79" s="16">
        <v>46298</v>
      </c>
      <c r="C79" s="8" t="s">
        <v>46</v>
      </c>
      <c r="D79" s="8" t="s">
        <v>17</v>
      </c>
      <c r="E79" s="12" t="str">
        <f>VLOOKUP(D79,题目索引!$A$6:$H$23,2,FALSE)</f>
        <v>ConceptNet—属于—常识知识图谱</v>
      </c>
      <c r="F79" s="8" t="s">
        <v>18</v>
      </c>
      <c r="G79" s="14" t="str">
        <f>IF(F79="","",IF(F79=VLOOKUP(D79,题目索引!$A$6:$H$23,6,FALSE),"正确","错误"))</f>
        <v>正确</v>
      </c>
      <c r="H79" s="18">
        <v>23</v>
      </c>
      <c r="I79" s="8" t="s">
        <v>19</v>
      </c>
      <c r="J79" s="8" t="s">
        <v>19</v>
      </c>
      <c r="K79" s="8" t="s">
        <v>19</v>
      </c>
      <c r="L79" s="10"/>
      <c r="M79" s="10" t="s">
        <v>20</v>
      </c>
      <c r="N79" s="8" t="s">
        <v>21</v>
      </c>
    </row>
    <row r="80" spans="1:14" ht="31.95" customHeight="1">
      <c r="A80" s="8" t="s">
        <v>58</v>
      </c>
      <c r="B80" s="16">
        <v>46298</v>
      </c>
      <c r="C80" s="8" t="s">
        <v>46</v>
      </c>
      <c r="D80" s="8" t="s">
        <v>22</v>
      </c>
      <c r="E80" s="12" t="str">
        <f>VLOOKUP(D80,题目索引!$A$6:$H$23,2,FALSE)</f>
        <v>NELL—来源于—网页信息抽取</v>
      </c>
      <c r="F80" s="8" t="s">
        <v>18</v>
      </c>
      <c r="G80" s="14" t="str">
        <f>IF(F80="","",IF(F80=VLOOKUP(D80,题目索引!$A$6:$H$23,6,FALSE),"正确","错误"))</f>
        <v>正确</v>
      </c>
      <c r="H80" s="18">
        <v>23</v>
      </c>
      <c r="I80" s="8" t="s">
        <v>19</v>
      </c>
      <c r="J80" s="8" t="s">
        <v>19</v>
      </c>
      <c r="K80" s="8" t="s">
        <v>19</v>
      </c>
      <c r="L80" s="10"/>
      <c r="M80" s="10" t="s">
        <v>20</v>
      </c>
      <c r="N80" s="8" t="s">
        <v>21</v>
      </c>
    </row>
    <row r="81" spans="1:14" ht="31.95" customHeight="1">
      <c r="A81" s="8" t="s">
        <v>58</v>
      </c>
      <c r="B81" s="16">
        <v>46298</v>
      </c>
      <c r="C81" s="8" t="s">
        <v>46</v>
      </c>
      <c r="D81" s="8" t="s">
        <v>23</v>
      </c>
      <c r="E81" s="12" t="str">
        <f>VLOOKUP(D81,题目索引!$A$6:$H$23,2,FALSE)</f>
        <v>BERT—开发机构—Google</v>
      </c>
      <c r="F81" s="8" t="s">
        <v>18</v>
      </c>
      <c r="G81" s="14" t="str">
        <f>IF(F81="","",IF(F81=VLOOKUP(D81,题目索引!$A$6:$H$23,6,FALSE),"正确","错误"))</f>
        <v>正确</v>
      </c>
      <c r="H81" s="18">
        <v>23</v>
      </c>
      <c r="I81" s="8" t="s">
        <v>19</v>
      </c>
      <c r="J81" s="8" t="s">
        <v>19</v>
      </c>
      <c r="K81" s="8" t="s">
        <v>19</v>
      </c>
      <c r="L81" s="10"/>
      <c r="M81" s="10" t="s">
        <v>20</v>
      </c>
      <c r="N81" s="8" t="s">
        <v>21</v>
      </c>
    </row>
    <row r="82" spans="1:14" ht="31.95" customHeight="1">
      <c r="A82" s="8" t="s">
        <v>58</v>
      </c>
      <c r="B82" s="16">
        <v>46298</v>
      </c>
      <c r="C82" s="8" t="s">
        <v>46</v>
      </c>
      <c r="D82" s="8" t="s">
        <v>24</v>
      </c>
      <c r="E82" s="12" t="str">
        <f>VLOOKUP(D82,题目索引!$A$6:$H$23,2,FALSE)</f>
        <v>CN15K—来源于—ConceptNet</v>
      </c>
      <c r="F82" s="8" t="s">
        <v>18</v>
      </c>
      <c r="G82" s="14" t="str">
        <f>IF(F82="","",IF(F82=VLOOKUP(D82,题目索引!$A$6:$H$23,6,FALSE),"正确","错误"))</f>
        <v>正确</v>
      </c>
      <c r="H82" s="18">
        <v>28</v>
      </c>
      <c r="I82" s="8" t="s">
        <v>19</v>
      </c>
      <c r="J82" s="8" t="s">
        <v>19</v>
      </c>
      <c r="K82" s="8" t="s">
        <v>19</v>
      </c>
      <c r="L82" s="10"/>
      <c r="M82" s="10" t="s">
        <v>20</v>
      </c>
      <c r="N82" s="8" t="s">
        <v>21</v>
      </c>
    </row>
    <row r="83" spans="1:14" ht="31.95" customHeight="1">
      <c r="A83" s="8" t="s">
        <v>58</v>
      </c>
      <c r="B83" s="16">
        <v>46298</v>
      </c>
      <c r="C83" s="8" t="s">
        <v>46</v>
      </c>
      <c r="D83" s="8" t="s">
        <v>30</v>
      </c>
      <c r="E83" s="12" t="str">
        <f>VLOOKUP(D83,题目索引!$A$6:$H$23,2,FALSE)</f>
        <v>NL27K—来源于—NELL</v>
      </c>
      <c r="F83" s="8" t="s">
        <v>18</v>
      </c>
      <c r="G83" s="14" t="str">
        <f>IF(F83="","",IF(F83=VLOOKUP(D83,题目索引!$A$6:$H$23,6,FALSE),"正确","错误"))</f>
        <v>正确</v>
      </c>
      <c r="H83" s="18">
        <v>28</v>
      </c>
      <c r="I83" s="8" t="s">
        <v>19</v>
      </c>
      <c r="J83" s="8" t="s">
        <v>19</v>
      </c>
      <c r="K83" s="8" t="s">
        <v>19</v>
      </c>
      <c r="L83" s="10"/>
      <c r="M83" s="10" t="s">
        <v>20</v>
      </c>
      <c r="N83" s="8" t="s">
        <v>21</v>
      </c>
    </row>
    <row r="84" spans="1:14" ht="31.95" customHeight="1">
      <c r="A84" s="8" t="s">
        <v>58</v>
      </c>
      <c r="B84" s="16">
        <v>46298</v>
      </c>
      <c r="C84" s="8" t="s">
        <v>46</v>
      </c>
      <c r="D84" s="8" t="s">
        <v>31</v>
      </c>
      <c r="E84" s="12" t="str">
        <f>VLOOKUP(D84,题目索引!$A$6:$H$23,2,FALSE)</f>
        <v>知识图谱补全—相关任务—链接预测</v>
      </c>
      <c r="F84" s="8" t="s">
        <v>18</v>
      </c>
      <c r="G84" s="14" t="str">
        <f>IF(F84="","",IF(F84=VLOOKUP(D84,题目索引!$A$6:$H$23,6,FALSE),"正确","错误"))</f>
        <v>正确</v>
      </c>
      <c r="H84" s="18">
        <v>28</v>
      </c>
      <c r="I84" s="8" t="s">
        <v>19</v>
      </c>
      <c r="J84" s="8" t="s">
        <v>19</v>
      </c>
      <c r="K84" s="8" t="s">
        <v>19</v>
      </c>
      <c r="L84" s="10"/>
      <c r="M84" s="10" t="s">
        <v>20</v>
      </c>
      <c r="N84" s="8" t="s">
        <v>21</v>
      </c>
    </row>
    <row r="85" spans="1:14" ht="31.95" customHeight="1">
      <c r="A85" s="8" t="s">
        <v>58</v>
      </c>
      <c r="B85" s="16">
        <v>46298</v>
      </c>
      <c r="C85" s="8" t="s">
        <v>46</v>
      </c>
      <c r="D85" s="8" t="s">
        <v>32</v>
      </c>
      <c r="E85" s="12" t="str">
        <f>VLOOKUP(D85,题目索引!$A$6:$H$23,2,FALSE)</f>
        <v>CN15K—来源于—NELL</v>
      </c>
      <c r="F85" s="8" t="s">
        <v>34</v>
      </c>
      <c r="G85" s="14" t="str">
        <f>IF(F85="","",IF(F85=VLOOKUP(D85,题目索引!$A$6:$H$23,6,FALSE),"正确","错误"))</f>
        <v>正确</v>
      </c>
      <c r="H85" s="18">
        <v>32</v>
      </c>
      <c r="I85" s="8" t="s">
        <v>19</v>
      </c>
      <c r="J85" s="8" t="s">
        <v>19</v>
      </c>
      <c r="K85" s="8" t="s">
        <v>26</v>
      </c>
      <c r="L85" s="10"/>
      <c r="M85" s="10" t="s">
        <v>20</v>
      </c>
      <c r="N85" s="8" t="s">
        <v>21</v>
      </c>
    </row>
    <row r="86" spans="1:14" ht="31.95" customHeight="1">
      <c r="A86" s="8" t="s">
        <v>58</v>
      </c>
      <c r="B86" s="16">
        <v>46298</v>
      </c>
      <c r="C86" s="8" t="s">
        <v>46</v>
      </c>
      <c r="D86" s="8" t="s">
        <v>33</v>
      </c>
      <c r="E86" s="12" t="str">
        <f>VLOOKUP(D86,题目索引!$A$6:$H$23,2,FALSE)</f>
        <v>NL27K—来源于—ConceptNet</v>
      </c>
      <c r="F86" s="8" t="s">
        <v>25</v>
      </c>
      <c r="G86" s="14" t="str">
        <f>IF(F86="","",IF(F86=VLOOKUP(D86,题目索引!$A$6:$H$23,6,FALSE),"正确","错误"))</f>
        <v>错误</v>
      </c>
      <c r="H86" s="18">
        <v>32</v>
      </c>
      <c r="I86" s="8" t="s">
        <v>19</v>
      </c>
      <c r="J86" s="8" t="s">
        <v>26</v>
      </c>
      <c r="K86" s="8" t="s">
        <v>26</v>
      </c>
      <c r="L86" s="10"/>
      <c r="M86" s="10" t="s">
        <v>48</v>
      </c>
      <c r="N86" s="8" t="s">
        <v>49</v>
      </c>
    </row>
    <row r="87" spans="1:14" ht="31.95" customHeight="1">
      <c r="A87" s="8" t="s">
        <v>58</v>
      </c>
      <c r="B87" s="16">
        <v>46298</v>
      </c>
      <c r="C87" s="8" t="s">
        <v>46</v>
      </c>
      <c r="D87" s="8" t="s">
        <v>35</v>
      </c>
      <c r="E87" s="12" t="str">
        <f>VLOOKUP(D87,题目索引!$A$6:$H$23,2,FALSE)</f>
        <v>BERT—开发机构—OpenAI</v>
      </c>
      <c r="F87" s="8" t="s">
        <v>34</v>
      </c>
      <c r="G87" s="14" t="str">
        <f>IF(F87="","",IF(F87=VLOOKUP(D87,题目索引!$A$6:$H$23,6,FALSE),"正确","错误"))</f>
        <v>正确</v>
      </c>
      <c r="H87" s="18">
        <v>32</v>
      </c>
      <c r="I87" s="8" t="s">
        <v>19</v>
      </c>
      <c r="J87" s="8" t="s">
        <v>19</v>
      </c>
      <c r="K87" s="8" t="s">
        <v>26</v>
      </c>
      <c r="L87" s="10"/>
      <c r="M87" s="10" t="s">
        <v>20</v>
      </c>
      <c r="N87" s="8" t="s">
        <v>21</v>
      </c>
    </row>
    <row r="88" spans="1:14" ht="31.95" customHeight="1">
      <c r="A88" s="8" t="s">
        <v>58</v>
      </c>
      <c r="B88" s="16">
        <v>46298</v>
      </c>
      <c r="C88" s="8" t="s">
        <v>46</v>
      </c>
      <c r="D88" s="8" t="s">
        <v>36</v>
      </c>
      <c r="E88" s="12" t="str">
        <f>VLOOKUP(D88,题目索引!$A$6:$H$23,2,FALSE)</f>
        <v>银川—位于—甘肃</v>
      </c>
      <c r="F88" s="8" t="s">
        <v>25</v>
      </c>
      <c r="G88" s="14" t="str">
        <f>IF(F88="","",IF(F88=VLOOKUP(D88,题目索引!$A$6:$H$23,6,FALSE),"正确","错误"))</f>
        <v>错误</v>
      </c>
      <c r="H88" s="18">
        <v>32</v>
      </c>
      <c r="I88" s="8" t="s">
        <v>19</v>
      </c>
      <c r="J88" s="8" t="s">
        <v>19</v>
      </c>
      <c r="K88" s="8" t="s">
        <v>26</v>
      </c>
      <c r="L88" s="10"/>
      <c r="M88" s="10" t="s">
        <v>28</v>
      </c>
      <c r="N88" s="8" t="s">
        <v>29</v>
      </c>
    </row>
    <row r="89" spans="1:14" ht="31.95" customHeight="1">
      <c r="A89" s="8" t="s">
        <v>58</v>
      </c>
      <c r="B89" s="16">
        <v>46298</v>
      </c>
      <c r="C89" s="8" t="s">
        <v>46</v>
      </c>
      <c r="D89" s="8" t="s">
        <v>37</v>
      </c>
      <c r="E89" s="12" t="str">
        <f>VLOOKUP(D89,题目索引!$A$6:$H$23,2,FALSE)</f>
        <v>ConceptNet—属于—金融风控数据集</v>
      </c>
      <c r="F89" s="8" t="s">
        <v>34</v>
      </c>
      <c r="G89" s="14" t="str">
        <f>IF(F89="","",IF(F89=VLOOKUP(D89,题目索引!$A$6:$H$23,6,FALSE),"正确","错误"))</f>
        <v>正确</v>
      </c>
      <c r="H89" s="18">
        <v>32</v>
      </c>
      <c r="I89" s="8" t="s">
        <v>19</v>
      </c>
      <c r="J89" s="8" t="s">
        <v>19</v>
      </c>
      <c r="K89" s="8" t="s">
        <v>19</v>
      </c>
      <c r="L89" s="10"/>
      <c r="M89" s="10" t="s">
        <v>20</v>
      </c>
      <c r="N89" s="8" t="s">
        <v>21</v>
      </c>
    </row>
    <row r="90" spans="1:14" ht="31.95" customHeight="1">
      <c r="A90" s="8" t="s">
        <v>58</v>
      </c>
      <c r="B90" s="16">
        <v>46298</v>
      </c>
      <c r="C90" s="8" t="s">
        <v>46</v>
      </c>
      <c r="D90" s="8" t="s">
        <v>38</v>
      </c>
      <c r="E90" s="12" t="str">
        <f>VLOOKUP(D90,题目索引!$A$6:$H$23,2,FALSE)</f>
        <v>UBERT-RM—用于—图像分割</v>
      </c>
      <c r="F90" s="8" t="s">
        <v>34</v>
      </c>
      <c r="G90" s="14" t="str">
        <f>IF(F90="","",IF(F90=VLOOKUP(D90,题目索引!$A$6:$H$23,6,FALSE),"正确","错误"))</f>
        <v>正确</v>
      </c>
      <c r="H90" s="18">
        <v>32</v>
      </c>
      <c r="I90" s="8" t="s">
        <v>19</v>
      </c>
      <c r="J90" s="8" t="s">
        <v>19</v>
      </c>
      <c r="K90" s="8" t="s">
        <v>19</v>
      </c>
      <c r="L90" s="10"/>
      <c r="M90" s="10" t="s">
        <v>20</v>
      </c>
      <c r="N90" s="8" t="s">
        <v>21</v>
      </c>
    </row>
    <row r="91" spans="1:14" ht="31.95" customHeight="1">
      <c r="A91" s="8" t="s">
        <v>58</v>
      </c>
      <c r="B91" s="16">
        <v>46298</v>
      </c>
      <c r="C91" s="8" t="s">
        <v>46</v>
      </c>
      <c r="D91" s="8" t="s">
        <v>39</v>
      </c>
      <c r="E91" s="12" t="str">
        <f>VLOOKUP(D91,题目索引!$A$6:$H$23,2,FALSE)</f>
        <v>宁夏大学—位于—银川</v>
      </c>
      <c r="F91" s="8" t="s">
        <v>18</v>
      </c>
      <c r="G91" s="14" t="str">
        <f>IF(F91="","",IF(F91=VLOOKUP(D91,题目索引!$A$6:$H$23,6,FALSE),"正确","错误"))</f>
        <v>正确</v>
      </c>
      <c r="H91" s="18">
        <v>29</v>
      </c>
      <c r="I91" s="8" t="s">
        <v>19</v>
      </c>
      <c r="J91" s="8" t="s">
        <v>19</v>
      </c>
      <c r="K91" s="8" t="s">
        <v>19</v>
      </c>
      <c r="L91" s="10"/>
      <c r="M91" s="10" t="s">
        <v>20</v>
      </c>
      <c r="N91" s="8" t="s">
        <v>21</v>
      </c>
    </row>
    <row r="92" spans="1:14" ht="31.95" customHeight="1">
      <c r="A92" s="8" t="s">
        <v>58</v>
      </c>
      <c r="B92" s="16">
        <v>46298</v>
      </c>
      <c r="C92" s="8" t="s">
        <v>46</v>
      </c>
      <c r="D92" s="8" t="s">
        <v>40</v>
      </c>
      <c r="E92" s="12" t="str">
        <f>VLOOKUP(D92,题目索引!$A$6:$H$23,2,FALSE)</f>
        <v>CN15K—包含关系数量—36</v>
      </c>
      <c r="F92" s="8" t="s">
        <v>18</v>
      </c>
      <c r="G92" s="14" t="str">
        <f>IF(F92="","",IF(F92=VLOOKUP(D92,题目索引!$A$6:$H$23,6,FALSE),"正确","错误"))</f>
        <v>正确</v>
      </c>
      <c r="H92" s="18">
        <v>29</v>
      </c>
      <c r="I92" s="8" t="s">
        <v>19</v>
      </c>
      <c r="J92" s="8" t="s">
        <v>19</v>
      </c>
      <c r="K92" s="8" t="s">
        <v>19</v>
      </c>
      <c r="L92" s="10"/>
      <c r="M92" s="10" t="s">
        <v>20</v>
      </c>
      <c r="N92" s="8" t="s">
        <v>21</v>
      </c>
    </row>
    <row r="93" spans="1:14" ht="31.95" customHeight="1">
      <c r="A93" s="8" t="s">
        <v>58</v>
      </c>
      <c r="B93" s="16">
        <v>46298</v>
      </c>
      <c r="C93" s="8" t="s">
        <v>46</v>
      </c>
      <c r="D93" s="8" t="s">
        <v>41</v>
      </c>
      <c r="E93" s="12" t="str">
        <f>VLOOKUP(D93,题目索引!$A$6:$H$23,2,FALSE)</f>
        <v>NL27K—包含实体数量—15000</v>
      </c>
      <c r="F93" s="8" t="s">
        <v>34</v>
      </c>
      <c r="G93" s="14" t="str">
        <f>IF(F93="","",IF(F93=VLOOKUP(D93,题目索引!$A$6:$H$23,6,FALSE),"正确","错误"))</f>
        <v>正确</v>
      </c>
      <c r="H93" s="18">
        <v>29</v>
      </c>
      <c r="I93" s="8" t="s">
        <v>19</v>
      </c>
      <c r="J93" s="8" t="s">
        <v>19</v>
      </c>
      <c r="K93" s="8" t="s">
        <v>19</v>
      </c>
      <c r="L93" s="10"/>
      <c r="M93" s="10" t="s">
        <v>20</v>
      </c>
      <c r="N93" s="8" t="s">
        <v>21</v>
      </c>
    </row>
    <row r="94" spans="1:14" ht="31.95" customHeight="1">
      <c r="A94" s="8" t="s">
        <v>58</v>
      </c>
      <c r="B94" s="16">
        <v>46298</v>
      </c>
      <c r="C94" s="8" t="s">
        <v>46</v>
      </c>
      <c r="D94" s="8" t="s">
        <v>42</v>
      </c>
      <c r="E94" s="12" t="str">
        <f>VLOOKUP(D94,题目索引!$A$6:$H$23,2,FALSE)</f>
        <v>UBERT-RM—适用于—医疗知识图谱生产系统</v>
      </c>
      <c r="F94" s="8" t="s">
        <v>25</v>
      </c>
      <c r="G94" s="14" t="str">
        <f>IF(F94="","",IF(F94=VLOOKUP(D94,题目索引!$A$6:$H$23,6,FALSE),"正确","错误"))</f>
        <v>正确</v>
      </c>
      <c r="H94" s="18">
        <v>36</v>
      </c>
      <c r="I94" s="8" t="s">
        <v>19</v>
      </c>
      <c r="J94" s="8" t="s">
        <v>19</v>
      </c>
      <c r="K94" s="8" t="s">
        <v>26</v>
      </c>
      <c r="L94" s="10"/>
      <c r="M94" s="10" t="s">
        <v>20</v>
      </c>
      <c r="N94" s="8" t="s">
        <v>21</v>
      </c>
    </row>
    <row r="95" spans="1:14" ht="31.95" customHeight="1">
      <c r="A95" s="8" t="s">
        <v>58</v>
      </c>
      <c r="B95" s="16">
        <v>46298</v>
      </c>
      <c r="C95" s="8" t="s">
        <v>46</v>
      </c>
      <c r="D95" s="8" t="s">
        <v>43</v>
      </c>
      <c r="E95" s="12" t="str">
        <f>VLOOKUP(D95,题目索引!$A$6:$H$23,2,FALSE)</f>
        <v>路径跳数4—一定优于—路径跳数3</v>
      </c>
      <c r="F95" s="8" t="s">
        <v>18</v>
      </c>
      <c r="G95" s="14" t="str">
        <f>IF(F95="","",IF(F95=VLOOKUP(D95,题目索引!$A$6:$H$23,6,FALSE),"正确","错误"))</f>
        <v>错误</v>
      </c>
      <c r="H95" s="18">
        <v>36</v>
      </c>
      <c r="I95" s="8" t="s">
        <v>19</v>
      </c>
      <c r="J95" s="8" t="s">
        <v>26</v>
      </c>
      <c r="K95" s="8" t="s">
        <v>26</v>
      </c>
      <c r="L95" s="10" t="s">
        <v>59</v>
      </c>
      <c r="M95" s="10" t="s">
        <v>48</v>
      </c>
      <c r="N95" s="8" t="s">
        <v>49</v>
      </c>
    </row>
    <row r="96" spans="1:14" ht="31.95" customHeight="1">
      <c r="A96" s="8" t="s">
        <v>58</v>
      </c>
      <c r="B96" s="16">
        <v>46298</v>
      </c>
      <c r="C96" s="8" t="s">
        <v>46</v>
      </c>
      <c r="D96" s="8" t="s">
        <v>44</v>
      </c>
      <c r="E96" s="12" t="str">
        <f>VLOOKUP(D96,题目索引!$A$6:$H$23,2,FALSE)</f>
        <v>子图跳数3—是所有场景的最佳配置</v>
      </c>
      <c r="F96" s="8" t="s">
        <v>25</v>
      </c>
      <c r="G96" s="14" t="str">
        <f>IF(F96="","",IF(F96=VLOOKUP(D96,题目索引!$A$6:$H$23,6,FALSE),"正确","错误"))</f>
        <v>正确</v>
      </c>
      <c r="H96" s="18">
        <v>36</v>
      </c>
      <c r="I96" s="8" t="s">
        <v>19</v>
      </c>
      <c r="J96" s="8" t="s">
        <v>19</v>
      </c>
      <c r="K96" s="8" t="s">
        <v>26</v>
      </c>
      <c r="L96" s="10"/>
      <c r="M96" s="10" t="s">
        <v>20</v>
      </c>
      <c r="N96" s="8" t="s">
        <v>21</v>
      </c>
    </row>
    <row r="97" spans="1:14" ht="31.95" customHeight="1">
      <c r="A97" s="8" t="s">
        <v>60</v>
      </c>
      <c r="B97" s="16">
        <v>46298</v>
      </c>
      <c r="C97" s="8" t="s">
        <v>52</v>
      </c>
      <c r="D97" s="8" t="s">
        <v>17</v>
      </c>
      <c r="E97" s="12" t="str">
        <f>VLOOKUP(D97,题目索引!$A$6:$H$23,2,FALSE)</f>
        <v>ConceptNet—属于—常识知识图谱</v>
      </c>
      <c r="F97" s="8" t="s">
        <v>18</v>
      </c>
      <c r="G97" s="14" t="str">
        <f>IF(F97="","",IF(F97=VLOOKUP(D97,题目索引!$A$6:$H$23,6,FALSE),"正确","错误"))</f>
        <v>正确</v>
      </c>
      <c r="H97" s="18">
        <v>26</v>
      </c>
      <c r="I97" s="8" t="s">
        <v>26</v>
      </c>
      <c r="J97" s="8" t="s">
        <v>19</v>
      </c>
      <c r="K97" s="8" t="s">
        <v>19</v>
      </c>
      <c r="L97" s="10"/>
      <c r="M97" s="10" t="s">
        <v>20</v>
      </c>
      <c r="N97" s="8" t="s">
        <v>21</v>
      </c>
    </row>
    <row r="98" spans="1:14" ht="31.95" customHeight="1">
      <c r="A98" s="8" t="s">
        <v>60</v>
      </c>
      <c r="B98" s="16">
        <v>46298</v>
      </c>
      <c r="C98" s="8" t="s">
        <v>52</v>
      </c>
      <c r="D98" s="8" t="s">
        <v>22</v>
      </c>
      <c r="E98" s="12" t="str">
        <f>VLOOKUP(D98,题目索引!$A$6:$H$23,2,FALSE)</f>
        <v>NELL—来源于—网页信息抽取</v>
      </c>
      <c r="F98" s="8" t="s">
        <v>18</v>
      </c>
      <c r="G98" s="14" t="str">
        <f>IF(F98="","",IF(F98=VLOOKUP(D98,题目索引!$A$6:$H$23,6,FALSE),"正确","错误"))</f>
        <v>正确</v>
      </c>
      <c r="H98" s="18">
        <v>26</v>
      </c>
      <c r="I98" s="8" t="s">
        <v>26</v>
      </c>
      <c r="J98" s="8" t="s">
        <v>19</v>
      </c>
      <c r="K98" s="8" t="s">
        <v>19</v>
      </c>
      <c r="L98" s="10"/>
      <c r="M98" s="10" t="s">
        <v>20</v>
      </c>
      <c r="N98" s="8" t="s">
        <v>21</v>
      </c>
    </row>
    <row r="99" spans="1:14" ht="31.95" customHeight="1">
      <c r="A99" s="8" t="s">
        <v>60</v>
      </c>
      <c r="B99" s="16">
        <v>46298</v>
      </c>
      <c r="C99" s="8" t="s">
        <v>52</v>
      </c>
      <c r="D99" s="8" t="s">
        <v>23</v>
      </c>
      <c r="E99" s="12" t="str">
        <f>VLOOKUP(D99,题目索引!$A$6:$H$23,2,FALSE)</f>
        <v>BERT—开发机构—Google</v>
      </c>
      <c r="F99" s="8" t="s">
        <v>18</v>
      </c>
      <c r="G99" s="14" t="str">
        <f>IF(F99="","",IF(F99=VLOOKUP(D99,题目索引!$A$6:$H$23,6,FALSE),"正确","错误"))</f>
        <v>正确</v>
      </c>
      <c r="H99" s="18">
        <v>26</v>
      </c>
      <c r="I99" s="8" t="s">
        <v>26</v>
      </c>
      <c r="J99" s="8" t="s">
        <v>19</v>
      </c>
      <c r="K99" s="8" t="s">
        <v>19</v>
      </c>
      <c r="L99" s="10"/>
      <c r="M99" s="10" t="s">
        <v>20</v>
      </c>
      <c r="N99" s="8" t="s">
        <v>21</v>
      </c>
    </row>
    <row r="100" spans="1:14" ht="31.95" customHeight="1">
      <c r="A100" s="8" t="s">
        <v>60</v>
      </c>
      <c r="B100" s="16">
        <v>46298</v>
      </c>
      <c r="C100" s="8" t="s">
        <v>52</v>
      </c>
      <c r="D100" s="8" t="s">
        <v>24</v>
      </c>
      <c r="E100" s="12" t="str">
        <f>VLOOKUP(D100,题目索引!$A$6:$H$23,2,FALSE)</f>
        <v>CN15K—来源于—ConceptNet</v>
      </c>
      <c r="F100" s="8" t="s">
        <v>18</v>
      </c>
      <c r="G100" s="14" t="str">
        <f>IF(F100="","",IF(F100=VLOOKUP(D100,题目索引!$A$6:$H$23,6,FALSE),"正确","错误"))</f>
        <v>正确</v>
      </c>
      <c r="H100" s="18">
        <v>31</v>
      </c>
      <c r="I100" s="8" t="s">
        <v>26</v>
      </c>
      <c r="J100" s="8" t="s">
        <v>19</v>
      </c>
      <c r="K100" s="8" t="s">
        <v>19</v>
      </c>
      <c r="L100" s="10"/>
      <c r="M100" s="10" t="s">
        <v>20</v>
      </c>
      <c r="N100" s="8" t="s">
        <v>21</v>
      </c>
    </row>
    <row r="101" spans="1:14" ht="31.95" customHeight="1">
      <c r="A101" s="8" t="s">
        <v>60</v>
      </c>
      <c r="B101" s="16">
        <v>46298</v>
      </c>
      <c r="C101" s="8" t="s">
        <v>52</v>
      </c>
      <c r="D101" s="8" t="s">
        <v>30</v>
      </c>
      <c r="E101" s="12" t="str">
        <f>VLOOKUP(D101,题目索引!$A$6:$H$23,2,FALSE)</f>
        <v>NL27K—来源于—NELL</v>
      </c>
      <c r="F101" s="8" t="s">
        <v>18</v>
      </c>
      <c r="G101" s="14" t="str">
        <f>IF(F101="","",IF(F101=VLOOKUP(D101,题目索引!$A$6:$H$23,6,FALSE),"正确","错误"))</f>
        <v>正确</v>
      </c>
      <c r="H101" s="18">
        <v>31</v>
      </c>
      <c r="I101" s="8" t="s">
        <v>26</v>
      </c>
      <c r="J101" s="8" t="s">
        <v>19</v>
      </c>
      <c r="K101" s="8" t="s">
        <v>19</v>
      </c>
      <c r="L101" s="10"/>
      <c r="M101" s="10" t="s">
        <v>20</v>
      </c>
      <c r="N101" s="8" t="s">
        <v>21</v>
      </c>
    </row>
    <row r="102" spans="1:14" ht="31.95" customHeight="1">
      <c r="A102" s="8" t="s">
        <v>60</v>
      </c>
      <c r="B102" s="16">
        <v>46298</v>
      </c>
      <c r="C102" s="8" t="s">
        <v>52</v>
      </c>
      <c r="D102" s="8" t="s">
        <v>31</v>
      </c>
      <c r="E102" s="12" t="str">
        <f>VLOOKUP(D102,题目索引!$A$6:$H$23,2,FALSE)</f>
        <v>知识图谱补全—相关任务—链接预测</v>
      </c>
      <c r="F102" s="8" t="s">
        <v>18</v>
      </c>
      <c r="G102" s="14" t="str">
        <f>IF(F102="","",IF(F102=VLOOKUP(D102,题目索引!$A$6:$H$23,6,FALSE),"正确","错误"))</f>
        <v>正确</v>
      </c>
      <c r="H102" s="18">
        <v>31</v>
      </c>
      <c r="I102" s="8" t="s">
        <v>26</v>
      </c>
      <c r="J102" s="8" t="s">
        <v>19</v>
      </c>
      <c r="K102" s="8" t="s">
        <v>19</v>
      </c>
      <c r="L102" s="10"/>
      <c r="M102" s="10" t="s">
        <v>20</v>
      </c>
      <c r="N102" s="8" t="s">
        <v>21</v>
      </c>
    </row>
    <row r="103" spans="1:14" ht="31.95" customHeight="1">
      <c r="A103" s="8" t="s">
        <v>60</v>
      </c>
      <c r="B103" s="16">
        <v>46298</v>
      </c>
      <c r="C103" s="8" t="s">
        <v>52</v>
      </c>
      <c r="D103" s="8" t="s">
        <v>32</v>
      </c>
      <c r="E103" s="12" t="str">
        <f>VLOOKUP(D103,题目索引!$A$6:$H$23,2,FALSE)</f>
        <v>CN15K—来源于—NELL</v>
      </c>
      <c r="F103" s="8" t="s">
        <v>34</v>
      </c>
      <c r="G103" s="14" t="str">
        <f>IF(F103="","",IF(F103=VLOOKUP(D103,题目索引!$A$6:$H$23,6,FALSE),"正确","错误"))</f>
        <v>正确</v>
      </c>
      <c r="H103" s="18">
        <v>35</v>
      </c>
      <c r="I103" s="8" t="s">
        <v>26</v>
      </c>
      <c r="J103" s="8" t="s">
        <v>19</v>
      </c>
      <c r="K103" s="8" t="s">
        <v>26</v>
      </c>
      <c r="L103" s="10"/>
      <c r="M103" s="10" t="s">
        <v>54</v>
      </c>
      <c r="N103" s="8" t="s">
        <v>21</v>
      </c>
    </row>
    <row r="104" spans="1:14" ht="31.95" customHeight="1">
      <c r="A104" s="8" t="s">
        <v>60</v>
      </c>
      <c r="B104" s="16">
        <v>46298</v>
      </c>
      <c r="C104" s="8" t="s">
        <v>52</v>
      </c>
      <c r="D104" s="8" t="s">
        <v>33</v>
      </c>
      <c r="E104" s="12" t="str">
        <f>VLOOKUP(D104,题目索引!$A$6:$H$23,2,FALSE)</f>
        <v>NL27K—来源于—ConceptNet</v>
      </c>
      <c r="F104" s="8" t="s">
        <v>34</v>
      </c>
      <c r="G104" s="14" t="str">
        <f>IF(F104="","",IF(F104=VLOOKUP(D104,题目索引!$A$6:$H$23,6,FALSE),"正确","错误"))</f>
        <v>正确</v>
      </c>
      <c r="H104" s="18">
        <v>35</v>
      </c>
      <c r="I104" s="8" t="s">
        <v>26</v>
      </c>
      <c r="J104" s="8" t="s">
        <v>19</v>
      </c>
      <c r="K104" s="8" t="s">
        <v>26</v>
      </c>
      <c r="L104" s="10"/>
      <c r="M104" s="10" t="s">
        <v>54</v>
      </c>
      <c r="N104" s="8" t="s">
        <v>21</v>
      </c>
    </row>
    <row r="105" spans="1:14" ht="31.95" customHeight="1">
      <c r="A105" s="8" t="s">
        <v>60</v>
      </c>
      <c r="B105" s="16">
        <v>46298</v>
      </c>
      <c r="C105" s="8" t="s">
        <v>52</v>
      </c>
      <c r="D105" s="8" t="s">
        <v>35</v>
      </c>
      <c r="E105" s="12" t="str">
        <f>VLOOKUP(D105,题目索引!$A$6:$H$23,2,FALSE)</f>
        <v>BERT—开发机构—OpenAI</v>
      </c>
      <c r="F105" s="8" t="s">
        <v>25</v>
      </c>
      <c r="G105" s="14" t="str">
        <f>IF(F105="","",IF(F105=VLOOKUP(D105,题目索引!$A$6:$H$23,6,FALSE),"正确","错误"))</f>
        <v>错误</v>
      </c>
      <c r="H105" s="18">
        <v>35</v>
      </c>
      <c r="I105" s="8" t="s">
        <v>26</v>
      </c>
      <c r="J105" s="8" t="s">
        <v>26</v>
      </c>
      <c r="K105" s="8" t="s">
        <v>26</v>
      </c>
      <c r="L105" s="10" t="s">
        <v>61</v>
      </c>
      <c r="M105" s="10" t="s">
        <v>48</v>
      </c>
      <c r="N105" s="8" t="s">
        <v>49</v>
      </c>
    </row>
    <row r="106" spans="1:14" ht="31.95" customHeight="1">
      <c r="A106" s="8" t="s">
        <v>60</v>
      </c>
      <c r="B106" s="16">
        <v>46298</v>
      </c>
      <c r="C106" s="8" t="s">
        <v>52</v>
      </c>
      <c r="D106" s="8" t="s">
        <v>36</v>
      </c>
      <c r="E106" s="12" t="str">
        <f>VLOOKUP(D106,题目索引!$A$6:$H$23,2,FALSE)</f>
        <v>银川—位于—甘肃</v>
      </c>
      <c r="F106" s="8" t="s">
        <v>34</v>
      </c>
      <c r="G106" s="14" t="str">
        <f>IF(F106="","",IF(F106=VLOOKUP(D106,题目索引!$A$6:$H$23,6,FALSE),"正确","错误"))</f>
        <v>正确</v>
      </c>
      <c r="H106" s="18">
        <v>35</v>
      </c>
      <c r="I106" s="8" t="s">
        <v>26</v>
      </c>
      <c r="J106" s="8" t="s">
        <v>19</v>
      </c>
      <c r="K106" s="8" t="s">
        <v>19</v>
      </c>
      <c r="L106" s="10"/>
      <c r="M106" s="10" t="s">
        <v>54</v>
      </c>
      <c r="N106" s="8" t="s">
        <v>21</v>
      </c>
    </row>
    <row r="107" spans="1:14" ht="31.95" customHeight="1">
      <c r="A107" s="8" t="s">
        <v>60</v>
      </c>
      <c r="B107" s="16">
        <v>46298</v>
      </c>
      <c r="C107" s="8" t="s">
        <v>52</v>
      </c>
      <c r="D107" s="8" t="s">
        <v>37</v>
      </c>
      <c r="E107" s="12" t="str">
        <f>VLOOKUP(D107,题目索引!$A$6:$H$23,2,FALSE)</f>
        <v>ConceptNet—属于—金融风控数据集</v>
      </c>
      <c r="F107" s="8" t="s">
        <v>34</v>
      </c>
      <c r="G107" s="14" t="str">
        <f>IF(F107="","",IF(F107=VLOOKUP(D107,题目索引!$A$6:$H$23,6,FALSE),"正确","错误"))</f>
        <v>正确</v>
      </c>
      <c r="H107" s="18">
        <v>35</v>
      </c>
      <c r="I107" s="8" t="s">
        <v>26</v>
      </c>
      <c r="J107" s="8" t="s">
        <v>19</v>
      </c>
      <c r="K107" s="8" t="s">
        <v>19</v>
      </c>
      <c r="L107" s="10"/>
      <c r="M107" s="10" t="s">
        <v>54</v>
      </c>
      <c r="N107" s="8" t="s">
        <v>21</v>
      </c>
    </row>
    <row r="108" spans="1:14" ht="31.95" customHeight="1">
      <c r="A108" s="8" t="s">
        <v>60</v>
      </c>
      <c r="B108" s="16">
        <v>46298</v>
      </c>
      <c r="C108" s="8" t="s">
        <v>52</v>
      </c>
      <c r="D108" s="8" t="s">
        <v>38</v>
      </c>
      <c r="E108" s="12" t="str">
        <f>VLOOKUP(D108,题目索引!$A$6:$H$23,2,FALSE)</f>
        <v>UBERT-RM—用于—图像分割</v>
      </c>
      <c r="F108" s="8" t="s">
        <v>34</v>
      </c>
      <c r="G108" s="14" t="str">
        <f>IF(F108="","",IF(F108=VLOOKUP(D108,题目索引!$A$6:$H$23,6,FALSE),"正确","错误"))</f>
        <v>正确</v>
      </c>
      <c r="H108" s="18">
        <v>35</v>
      </c>
      <c r="I108" s="8" t="s">
        <v>26</v>
      </c>
      <c r="J108" s="8" t="s">
        <v>19</v>
      </c>
      <c r="K108" s="8" t="s">
        <v>19</v>
      </c>
      <c r="L108" s="10"/>
      <c r="M108" s="10" t="s">
        <v>54</v>
      </c>
      <c r="N108" s="8" t="s">
        <v>21</v>
      </c>
    </row>
    <row r="109" spans="1:14" ht="31.95" customHeight="1">
      <c r="A109" s="8" t="s">
        <v>60</v>
      </c>
      <c r="B109" s="16">
        <v>46298</v>
      </c>
      <c r="C109" s="8" t="s">
        <v>52</v>
      </c>
      <c r="D109" s="8" t="s">
        <v>39</v>
      </c>
      <c r="E109" s="12" t="str">
        <f>VLOOKUP(D109,题目索引!$A$6:$H$23,2,FALSE)</f>
        <v>宁夏大学—位于—银川</v>
      </c>
      <c r="F109" s="8" t="s">
        <v>18</v>
      </c>
      <c r="G109" s="14" t="str">
        <f>IF(F109="","",IF(F109=VLOOKUP(D109,题目索引!$A$6:$H$23,6,FALSE),"正确","错误"))</f>
        <v>正确</v>
      </c>
      <c r="H109" s="18">
        <v>32</v>
      </c>
      <c r="I109" s="8" t="s">
        <v>19</v>
      </c>
      <c r="J109" s="8" t="s">
        <v>19</v>
      </c>
      <c r="K109" s="8" t="s">
        <v>19</v>
      </c>
      <c r="L109" s="10"/>
      <c r="M109" s="10" t="s">
        <v>20</v>
      </c>
      <c r="N109" s="8" t="s">
        <v>21</v>
      </c>
    </row>
    <row r="110" spans="1:14" ht="31.95" customHeight="1">
      <c r="A110" s="8" t="s">
        <v>60</v>
      </c>
      <c r="B110" s="16">
        <v>46298</v>
      </c>
      <c r="C110" s="8" t="s">
        <v>52</v>
      </c>
      <c r="D110" s="8" t="s">
        <v>40</v>
      </c>
      <c r="E110" s="12" t="str">
        <f>VLOOKUP(D110,题目索引!$A$6:$H$23,2,FALSE)</f>
        <v>CN15K—包含关系数量—36</v>
      </c>
      <c r="F110" s="8" t="s">
        <v>18</v>
      </c>
      <c r="G110" s="14" t="str">
        <f>IF(F110="","",IF(F110=VLOOKUP(D110,题目索引!$A$6:$H$23,6,FALSE),"正确","错误"))</f>
        <v>正确</v>
      </c>
      <c r="H110" s="18">
        <v>32</v>
      </c>
      <c r="I110" s="8" t="s">
        <v>19</v>
      </c>
      <c r="J110" s="8" t="s">
        <v>19</v>
      </c>
      <c r="K110" s="8" t="s">
        <v>19</v>
      </c>
      <c r="L110" s="10"/>
      <c r="M110" s="10" t="s">
        <v>20</v>
      </c>
      <c r="N110" s="8" t="s">
        <v>21</v>
      </c>
    </row>
    <row r="111" spans="1:14" ht="31.95" customHeight="1">
      <c r="A111" s="8" t="s">
        <v>60</v>
      </c>
      <c r="B111" s="16">
        <v>46298</v>
      </c>
      <c r="C111" s="8" t="s">
        <v>52</v>
      </c>
      <c r="D111" s="8" t="s">
        <v>41</v>
      </c>
      <c r="E111" s="12" t="str">
        <f>VLOOKUP(D111,题目索引!$A$6:$H$23,2,FALSE)</f>
        <v>NL27K—包含实体数量—15000</v>
      </c>
      <c r="F111" s="8" t="s">
        <v>34</v>
      </c>
      <c r="G111" s="14" t="str">
        <f>IF(F111="","",IF(F111=VLOOKUP(D111,题目索引!$A$6:$H$23,6,FALSE),"正确","错误"))</f>
        <v>正确</v>
      </c>
      <c r="H111" s="18">
        <v>32</v>
      </c>
      <c r="I111" s="8" t="s">
        <v>19</v>
      </c>
      <c r="J111" s="8" t="s">
        <v>19</v>
      </c>
      <c r="K111" s="8" t="s">
        <v>19</v>
      </c>
      <c r="L111" s="10"/>
      <c r="M111" s="10" t="s">
        <v>20</v>
      </c>
      <c r="N111" s="8" t="s">
        <v>21</v>
      </c>
    </row>
    <row r="112" spans="1:14" ht="31.95" customHeight="1">
      <c r="A112" s="8" t="s">
        <v>60</v>
      </c>
      <c r="B112" s="16">
        <v>46298</v>
      </c>
      <c r="C112" s="8" t="s">
        <v>52</v>
      </c>
      <c r="D112" s="8" t="s">
        <v>42</v>
      </c>
      <c r="E112" s="12" t="str">
        <f>VLOOKUP(D112,题目索引!$A$6:$H$23,2,FALSE)</f>
        <v>UBERT-RM—适用于—医疗知识图谱生产系统</v>
      </c>
      <c r="F112" s="8" t="s">
        <v>25</v>
      </c>
      <c r="G112" s="14" t="str">
        <f>IF(F112="","",IF(F112=VLOOKUP(D112,题目索引!$A$6:$H$23,6,FALSE),"正确","错误"))</f>
        <v>正确</v>
      </c>
      <c r="H112" s="18">
        <v>39</v>
      </c>
      <c r="I112" s="8" t="s">
        <v>26</v>
      </c>
      <c r="J112" s="8" t="s">
        <v>19</v>
      </c>
      <c r="K112" s="8" t="s">
        <v>26</v>
      </c>
      <c r="L112" s="10"/>
      <c r="M112" s="10" t="s">
        <v>20</v>
      </c>
      <c r="N112" s="8" t="s">
        <v>21</v>
      </c>
    </row>
    <row r="113" spans="1:14" ht="31.95" customHeight="1">
      <c r="A113" s="8" t="s">
        <v>60</v>
      </c>
      <c r="B113" s="16">
        <v>46298</v>
      </c>
      <c r="C113" s="8" t="s">
        <v>52</v>
      </c>
      <c r="D113" s="8" t="s">
        <v>43</v>
      </c>
      <c r="E113" s="12" t="str">
        <f>VLOOKUP(D113,题目索引!$A$6:$H$23,2,FALSE)</f>
        <v>路径跳数4—一定优于—路径跳数3</v>
      </c>
      <c r="F113" s="8" t="s">
        <v>18</v>
      </c>
      <c r="G113" s="14" t="str">
        <f>IF(F113="","",IF(F113=VLOOKUP(D113,题目索引!$A$6:$H$23,6,FALSE),"正确","错误"))</f>
        <v>错误</v>
      </c>
      <c r="H113" s="18">
        <v>39</v>
      </c>
      <c r="I113" s="8" t="s">
        <v>26</v>
      </c>
      <c r="J113" s="8" t="s">
        <v>26</v>
      </c>
      <c r="K113" s="8" t="s">
        <v>26</v>
      </c>
      <c r="L113" s="10" t="s">
        <v>62</v>
      </c>
      <c r="M113" s="10" t="s">
        <v>48</v>
      </c>
      <c r="N113" s="8" t="s">
        <v>49</v>
      </c>
    </row>
    <row r="114" spans="1:14" ht="31.95" customHeight="1">
      <c r="A114" s="8" t="s">
        <v>60</v>
      </c>
      <c r="B114" s="16">
        <v>46298</v>
      </c>
      <c r="C114" s="8" t="s">
        <v>52</v>
      </c>
      <c r="D114" s="8" t="s">
        <v>44</v>
      </c>
      <c r="E114" s="12" t="str">
        <f>VLOOKUP(D114,题目索引!$A$6:$H$23,2,FALSE)</f>
        <v>子图跳数3—是所有场景的最佳配置</v>
      </c>
      <c r="F114" s="8" t="s">
        <v>25</v>
      </c>
      <c r="G114" s="14" t="str">
        <f>IF(F114="","",IF(F114=VLOOKUP(D114,题目索引!$A$6:$H$23,6,FALSE),"正确","错误"))</f>
        <v>正确</v>
      </c>
      <c r="H114" s="18">
        <v>39</v>
      </c>
      <c r="I114" s="8" t="s">
        <v>26</v>
      </c>
      <c r="J114" s="8" t="s">
        <v>19</v>
      </c>
      <c r="K114" s="8" t="s">
        <v>26</v>
      </c>
      <c r="L114" s="10"/>
      <c r="M114" s="10" t="s">
        <v>20</v>
      </c>
      <c r="N114" s="8" t="s">
        <v>21</v>
      </c>
    </row>
    <row r="115" spans="1:14" ht="31.95" customHeight="1">
      <c r="A115" s="8"/>
      <c r="B115" s="16"/>
      <c r="C115" s="8"/>
      <c r="D115" s="8"/>
      <c r="E115" s="12"/>
      <c r="F115" s="8"/>
      <c r="G115" s="14"/>
      <c r="H115" s="18"/>
      <c r="I115" s="8"/>
      <c r="J115" s="8"/>
      <c r="K115" s="8"/>
      <c r="L115" s="10"/>
      <c r="M115" s="10"/>
      <c r="N115" s="8"/>
    </row>
    <row r="116" spans="1:14" ht="31.95" customHeight="1">
      <c r="A116" s="8"/>
      <c r="B116" s="16"/>
      <c r="C116" s="8"/>
      <c r="D116" s="8"/>
      <c r="E116" s="12"/>
      <c r="F116" s="8"/>
      <c r="G116" s="14"/>
      <c r="H116" s="18"/>
      <c r="I116" s="8"/>
      <c r="J116" s="8"/>
      <c r="K116" s="8"/>
      <c r="L116" s="10"/>
      <c r="M116" s="10"/>
      <c r="N116" s="8"/>
    </row>
    <row r="117" spans="1:14" ht="31.95" customHeight="1">
      <c r="A117" s="8"/>
      <c r="B117" s="16"/>
      <c r="C117" s="8"/>
      <c r="D117" s="8"/>
      <c r="E117" s="12"/>
      <c r="F117" s="8"/>
      <c r="G117" s="14"/>
      <c r="H117" s="18"/>
      <c r="I117" s="8"/>
      <c r="J117" s="8"/>
      <c r="K117" s="8"/>
      <c r="L117" s="10"/>
      <c r="M117" s="10"/>
      <c r="N117" s="8"/>
    </row>
    <row r="118" spans="1:14" ht="31.95" customHeight="1">
      <c r="A118" s="8"/>
      <c r="B118" s="16"/>
      <c r="C118" s="8"/>
      <c r="D118" s="8"/>
      <c r="E118" s="12"/>
      <c r="F118" s="8"/>
      <c r="G118" s="14"/>
      <c r="H118" s="18"/>
      <c r="I118" s="8"/>
      <c r="J118" s="8"/>
      <c r="K118" s="8"/>
      <c r="L118" s="10"/>
      <c r="M118" s="10"/>
      <c r="N118" s="8"/>
    </row>
    <row r="119" spans="1:14" ht="31.95" customHeight="1">
      <c r="A119" s="8"/>
      <c r="B119" s="16"/>
      <c r="C119" s="8"/>
      <c r="D119" s="8"/>
      <c r="E119" s="12"/>
      <c r="F119" s="8"/>
      <c r="G119" s="14"/>
      <c r="H119" s="18"/>
      <c r="I119" s="8"/>
      <c r="J119" s="8"/>
      <c r="K119" s="8"/>
      <c r="L119" s="10"/>
      <c r="M119" s="10"/>
      <c r="N119" s="8"/>
    </row>
    <row r="120" spans="1:14" ht="31.95" customHeight="1">
      <c r="A120" s="8"/>
      <c r="B120" s="16"/>
      <c r="C120" s="8"/>
      <c r="D120" s="8"/>
      <c r="E120" s="12"/>
      <c r="F120" s="8"/>
      <c r="G120" s="14"/>
      <c r="H120" s="18"/>
      <c r="I120" s="8"/>
      <c r="J120" s="8"/>
      <c r="K120" s="8"/>
      <c r="L120" s="10"/>
      <c r="M120" s="10"/>
      <c r="N120" s="8"/>
    </row>
    <row r="121" spans="1:14" ht="31.95" customHeight="1">
      <c r="A121" s="8"/>
      <c r="B121" s="16"/>
      <c r="C121" s="8"/>
      <c r="D121" s="8"/>
      <c r="E121" s="12"/>
      <c r="F121" s="8"/>
      <c r="G121" s="14"/>
      <c r="H121" s="18"/>
      <c r="I121" s="8"/>
      <c r="J121" s="8"/>
      <c r="K121" s="8"/>
      <c r="L121" s="10"/>
      <c r="M121" s="10"/>
      <c r="N121" s="8"/>
    </row>
    <row r="122" spans="1:14" ht="31.95" customHeight="1">
      <c r="A122" s="8"/>
      <c r="B122" s="16"/>
      <c r="C122" s="8"/>
      <c r="D122" s="8"/>
      <c r="E122" s="12"/>
      <c r="F122" s="8"/>
      <c r="G122" s="14"/>
      <c r="H122" s="18"/>
      <c r="I122" s="8"/>
      <c r="J122" s="8"/>
      <c r="K122" s="8"/>
      <c r="L122" s="10"/>
      <c r="M122" s="10"/>
      <c r="N122" s="8"/>
    </row>
    <row r="123" spans="1:14" ht="31.95" customHeight="1">
      <c r="A123" s="8"/>
      <c r="B123" s="16"/>
      <c r="C123" s="8"/>
      <c r="D123" s="8"/>
      <c r="E123" s="12"/>
      <c r="F123" s="8"/>
      <c r="G123" s="14"/>
      <c r="H123" s="18"/>
      <c r="I123" s="8"/>
      <c r="J123" s="8"/>
      <c r="K123" s="8"/>
      <c r="L123" s="10"/>
      <c r="M123" s="10"/>
      <c r="N123" s="8"/>
    </row>
    <row r="124" spans="1:14" ht="31.95" customHeight="1">
      <c r="A124" s="8"/>
      <c r="B124" s="16"/>
      <c r="C124" s="8"/>
      <c r="D124" s="8"/>
      <c r="E124" s="12"/>
      <c r="F124" s="8"/>
      <c r="G124" s="14"/>
      <c r="H124" s="18"/>
      <c r="I124" s="8"/>
      <c r="J124" s="8"/>
      <c r="K124" s="8"/>
      <c r="L124" s="10"/>
      <c r="M124" s="10"/>
      <c r="N124" s="8"/>
    </row>
    <row r="125" spans="1:14" ht="31.95" customHeight="1">
      <c r="A125" s="8"/>
      <c r="B125" s="16"/>
      <c r="C125" s="8"/>
      <c r="D125" s="8"/>
      <c r="E125" s="12"/>
      <c r="F125" s="8"/>
      <c r="G125" s="14"/>
      <c r="H125" s="18"/>
      <c r="I125" s="8"/>
      <c r="J125" s="8"/>
      <c r="K125" s="8"/>
      <c r="L125" s="10"/>
      <c r="M125" s="10"/>
      <c r="N125" s="8"/>
    </row>
    <row r="126" spans="1:14" ht="31.95" customHeight="1">
      <c r="A126" s="8"/>
      <c r="B126" s="16"/>
      <c r="C126" s="8"/>
      <c r="D126" s="8"/>
      <c r="E126" s="12"/>
      <c r="F126" s="8"/>
      <c r="G126" s="14"/>
      <c r="H126" s="18"/>
      <c r="I126" s="8"/>
      <c r="J126" s="8"/>
      <c r="K126" s="8"/>
      <c r="L126" s="10"/>
      <c r="M126" s="10"/>
      <c r="N126" s="8"/>
    </row>
    <row r="127" spans="1:14" ht="31.95" customHeight="1">
      <c r="A127" s="8"/>
      <c r="B127" s="16"/>
      <c r="C127" s="8"/>
      <c r="D127" s="8"/>
      <c r="E127" s="12"/>
      <c r="F127" s="8"/>
      <c r="G127" s="14"/>
      <c r="H127" s="18"/>
      <c r="I127" s="8"/>
      <c r="J127" s="8"/>
      <c r="K127" s="8"/>
      <c r="L127" s="10"/>
      <c r="M127" s="10"/>
      <c r="N127" s="8"/>
    </row>
    <row r="128" spans="1:14" ht="31.95" customHeight="1">
      <c r="A128" s="8"/>
      <c r="B128" s="16"/>
      <c r="C128" s="8"/>
      <c r="D128" s="8"/>
      <c r="E128" s="12"/>
      <c r="F128" s="8"/>
      <c r="G128" s="14"/>
      <c r="H128" s="18"/>
      <c r="I128" s="8"/>
      <c r="J128" s="8"/>
      <c r="K128" s="8"/>
      <c r="L128" s="10"/>
      <c r="M128" s="10"/>
      <c r="N128" s="8"/>
    </row>
    <row r="129" spans="1:14" ht="31.95" customHeight="1">
      <c r="A129" s="8"/>
      <c r="B129" s="16"/>
      <c r="C129" s="8"/>
      <c r="D129" s="8"/>
      <c r="E129" s="12"/>
      <c r="F129" s="8"/>
      <c r="G129" s="14"/>
      <c r="H129" s="18"/>
      <c r="I129" s="8"/>
      <c r="J129" s="8"/>
      <c r="K129" s="8"/>
      <c r="L129" s="10"/>
      <c r="M129" s="10"/>
      <c r="N129" s="8"/>
    </row>
    <row r="130" spans="1:14" ht="31.95" customHeight="1">
      <c r="A130" s="8"/>
      <c r="B130" s="16"/>
      <c r="C130" s="8"/>
      <c r="D130" s="8"/>
      <c r="E130" s="12"/>
      <c r="F130" s="8"/>
      <c r="G130" s="14"/>
      <c r="H130" s="18"/>
      <c r="I130" s="8"/>
      <c r="J130" s="8"/>
      <c r="K130" s="8"/>
      <c r="L130" s="10"/>
      <c r="M130" s="10"/>
      <c r="N130" s="8"/>
    </row>
    <row r="131" spans="1:14" ht="31.95" customHeight="1">
      <c r="A131" s="8"/>
      <c r="B131" s="16"/>
      <c r="C131" s="8"/>
      <c r="D131" s="8"/>
      <c r="E131" s="12"/>
      <c r="F131" s="8"/>
      <c r="G131" s="14"/>
      <c r="H131" s="18"/>
      <c r="I131" s="8"/>
      <c r="J131" s="8"/>
      <c r="K131" s="8"/>
      <c r="L131" s="10"/>
      <c r="M131" s="10"/>
      <c r="N131" s="8"/>
    </row>
    <row r="132" spans="1:14" ht="31.95" customHeight="1">
      <c r="A132" s="8"/>
      <c r="B132" s="16"/>
      <c r="C132" s="8"/>
      <c r="D132" s="8"/>
      <c r="E132" s="12"/>
      <c r="F132" s="8"/>
      <c r="G132" s="14"/>
      <c r="H132" s="18"/>
      <c r="I132" s="8"/>
      <c r="J132" s="8"/>
      <c r="K132" s="8"/>
      <c r="L132" s="10"/>
      <c r="M132" s="10"/>
      <c r="N132" s="8"/>
    </row>
    <row r="133" spans="1:14" ht="31.95" customHeight="1">
      <c r="A133" s="8"/>
      <c r="B133" s="16"/>
      <c r="C133" s="8"/>
      <c r="D133" s="8"/>
      <c r="E133" s="12"/>
      <c r="F133" s="8"/>
      <c r="G133" s="14"/>
      <c r="H133" s="18"/>
      <c r="I133" s="8"/>
      <c r="J133" s="8"/>
      <c r="K133" s="8"/>
      <c r="L133" s="10"/>
      <c r="M133" s="10"/>
      <c r="N133" s="8"/>
    </row>
    <row r="134" spans="1:14" ht="31.95" customHeight="1">
      <c r="A134" s="8"/>
      <c r="B134" s="16"/>
      <c r="C134" s="8"/>
      <c r="D134" s="8"/>
      <c r="E134" s="12"/>
      <c r="F134" s="8"/>
      <c r="G134" s="14"/>
      <c r="H134" s="18"/>
      <c r="I134" s="8"/>
      <c r="J134" s="8"/>
      <c r="K134" s="8"/>
      <c r="L134" s="10"/>
      <c r="M134" s="10"/>
      <c r="N134" s="8"/>
    </row>
    <row r="135" spans="1:14" ht="31.95" customHeight="1">
      <c r="A135" s="8"/>
      <c r="B135" s="16"/>
      <c r="C135" s="8"/>
      <c r="D135" s="8"/>
      <c r="E135" s="12"/>
      <c r="F135" s="8"/>
      <c r="G135" s="14"/>
      <c r="H135" s="18"/>
      <c r="I135" s="8"/>
      <c r="J135" s="8"/>
      <c r="K135" s="8"/>
      <c r="L135" s="10"/>
      <c r="M135" s="10"/>
      <c r="N135" s="8"/>
    </row>
    <row r="136" spans="1:14" ht="31.95" customHeight="1">
      <c r="A136" s="8"/>
      <c r="B136" s="16"/>
      <c r="C136" s="8"/>
      <c r="D136" s="8"/>
      <c r="E136" s="12"/>
      <c r="F136" s="8"/>
      <c r="G136" s="14"/>
      <c r="H136" s="18"/>
      <c r="I136" s="8"/>
      <c r="J136" s="8"/>
      <c r="K136" s="8"/>
      <c r="L136" s="10"/>
      <c r="M136" s="10"/>
      <c r="N136" s="8"/>
    </row>
    <row r="137" spans="1:14" ht="31.95" customHeight="1">
      <c r="A137" s="8"/>
      <c r="B137" s="16"/>
      <c r="C137" s="8"/>
      <c r="D137" s="8"/>
      <c r="E137" s="12"/>
      <c r="F137" s="8"/>
      <c r="G137" s="14"/>
      <c r="H137" s="18"/>
      <c r="I137" s="8"/>
      <c r="J137" s="8"/>
      <c r="K137" s="8"/>
      <c r="L137" s="10"/>
      <c r="M137" s="10"/>
      <c r="N137" s="8"/>
    </row>
    <row r="138" spans="1:14" ht="31.95" customHeight="1">
      <c r="A138" s="8"/>
      <c r="B138" s="16"/>
      <c r="C138" s="8"/>
      <c r="D138" s="8"/>
      <c r="E138" s="12"/>
      <c r="F138" s="8"/>
      <c r="G138" s="14"/>
      <c r="H138" s="18"/>
      <c r="I138" s="8"/>
      <c r="J138" s="8"/>
      <c r="K138" s="8"/>
      <c r="L138" s="10"/>
      <c r="M138" s="10"/>
      <c r="N138" s="8"/>
    </row>
    <row r="139" spans="1:14" ht="31.95" customHeight="1">
      <c r="A139" s="8"/>
      <c r="B139" s="16"/>
      <c r="C139" s="8"/>
      <c r="D139" s="8"/>
      <c r="E139" s="12"/>
      <c r="F139" s="8"/>
      <c r="G139" s="14"/>
      <c r="H139" s="18"/>
      <c r="I139" s="8"/>
      <c r="J139" s="8"/>
      <c r="K139" s="8"/>
      <c r="L139" s="10"/>
      <c r="M139" s="10"/>
      <c r="N139" s="8"/>
    </row>
    <row r="140" spans="1:14" ht="31.95" customHeight="1">
      <c r="A140" s="8"/>
      <c r="B140" s="16"/>
      <c r="C140" s="8"/>
      <c r="D140" s="8"/>
      <c r="E140" s="12"/>
      <c r="F140" s="8"/>
      <c r="G140" s="14"/>
      <c r="H140" s="18"/>
      <c r="I140" s="8"/>
      <c r="J140" s="8"/>
      <c r="K140" s="8"/>
      <c r="L140" s="10"/>
      <c r="M140" s="10"/>
      <c r="N140" s="8"/>
    </row>
    <row r="141" spans="1:14" ht="31.95" customHeight="1">
      <c r="A141" s="8"/>
      <c r="B141" s="16"/>
      <c r="C141" s="8"/>
      <c r="D141" s="8"/>
      <c r="E141" s="12"/>
      <c r="F141" s="8"/>
      <c r="G141" s="14"/>
      <c r="H141" s="18"/>
      <c r="I141" s="8"/>
      <c r="J141" s="8"/>
      <c r="K141" s="8"/>
      <c r="L141" s="10"/>
      <c r="M141" s="10"/>
      <c r="N141" s="8"/>
    </row>
    <row r="142" spans="1:14" ht="31.95" customHeight="1">
      <c r="A142" s="8"/>
      <c r="B142" s="16"/>
      <c r="C142" s="8"/>
      <c r="D142" s="8"/>
      <c r="E142" s="12"/>
      <c r="F142" s="8"/>
      <c r="G142" s="14"/>
      <c r="H142" s="18"/>
      <c r="I142" s="8"/>
      <c r="J142" s="8"/>
      <c r="K142" s="8"/>
      <c r="L142" s="10"/>
      <c r="M142" s="10"/>
      <c r="N142" s="8"/>
    </row>
    <row r="143" spans="1:14" ht="31.95" customHeight="1">
      <c r="A143" s="8"/>
      <c r="B143" s="16"/>
      <c r="C143" s="8"/>
      <c r="D143" s="8"/>
      <c r="E143" s="12"/>
      <c r="F143" s="8"/>
      <c r="G143" s="14"/>
      <c r="H143" s="18"/>
      <c r="I143" s="8"/>
      <c r="J143" s="8"/>
      <c r="K143" s="8"/>
      <c r="L143" s="10"/>
      <c r="M143" s="10"/>
      <c r="N143" s="8"/>
    </row>
    <row r="144" spans="1:14" ht="31.95" customHeight="1">
      <c r="A144" s="8"/>
      <c r="B144" s="16"/>
      <c r="C144" s="8"/>
      <c r="D144" s="8"/>
      <c r="E144" s="12"/>
      <c r="F144" s="8"/>
      <c r="G144" s="14"/>
      <c r="H144" s="18"/>
      <c r="I144" s="8"/>
      <c r="J144" s="8"/>
      <c r="K144" s="8"/>
      <c r="L144" s="10"/>
      <c r="M144" s="10"/>
      <c r="N144" s="8"/>
    </row>
    <row r="145" spans="1:14" ht="31.95" customHeight="1">
      <c r="A145" s="8"/>
      <c r="B145" s="16"/>
      <c r="C145" s="8"/>
      <c r="D145" s="8"/>
      <c r="E145" s="12"/>
      <c r="F145" s="8"/>
      <c r="G145" s="14"/>
      <c r="H145" s="18"/>
      <c r="I145" s="8"/>
      <c r="J145" s="8"/>
      <c r="K145" s="8"/>
      <c r="L145" s="10"/>
      <c r="M145" s="10"/>
      <c r="N145" s="8"/>
    </row>
    <row r="146" spans="1:14" ht="31.95" customHeight="1">
      <c r="A146" s="8"/>
      <c r="B146" s="16"/>
      <c r="C146" s="8"/>
      <c r="D146" s="8"/>
      <c r="E146" s="12"/>
      <c r="F146" s="8"/>
      <c r="G146" s="14"/>
      <c r="H146" s="18"/>
      <c r="I146" s="8"/>
      <c r="J146" s="8"/>
      <c r="K146" s="8"/>
      <c r="L146" s="10"/>
      <c r="M146" s="10"/>
      <c r="N146" s="8"/>
    </row>
    <row r="147" spans="1:14" ht="31.95" customHeight="1">
      <c r="A147" s="8"/>
      <c r="B147" s="16"/>
      <c r="C147" s="8"/>
      <c r="D147" s="8"/>
      <c r="E147" s="12"/>
      <c r="F147" s="8"/>
      <c r="G147" s="14"/>
      <c r="H147" s="18"/>
      <c r="I147" s="8"/>
      <c r="J147" s="8"/>
      <c r="K147" s="8"/>
      <c r="L147" s="10"/>
      <c r="M147" s="10"/>
      <c r="N147" s="8"/>
    </row>
    <row r="148" spans="1:14" ht="31.95" customHeight="1">
      <c r="A148" s="8"/>
      <c r="B148" s="16"/>
      <c r="C148" s="8"/>
      <c r="D148" s="8"/>
      <c r="E148" s="12"/>
      <c r="F148" s="8"/>
      <c r="G148" s="14"/>
      <c r="H148" s="18"/>
      <c r="I148" s="8"/>
      <c r="J148" s="8"/>
      <c r="K148" s="8"/>
      <c r="L148" s="10"/>
      <c r="M148" s="10"/>
      <c r="N148" s="8"/>
    </row>
    <row r="149" spans="1:14" ht="31.95" customHeight="1">
      <c r="A149" s="8"/>
      <c r="B149" s="16"/>
      <c r="C149" s="8"/>
      <c r="D149" s="8"/>
      <c r="E149" s="12"/>
      <c r="F149" s="8"/>
      <c r="G149" s="14"/>
      <c r="H149" s="18"/>
      <c r="I149" s="8"/>
      <c r="J149" s="8"/>
      <c r="K149" s="8"/>
      <c r="L149" s="10"/>
      <c r="M149" s="10"/>
      <c r="N149" s="8"/>
    </row>
    <row r="150" spans="1:14" ht="31.95" customHeight="1">
      <c r="A150" s="9"/>
      <c r="B150" s="17"/>
      <c r="C150" s="9"/>
      <c r="D150" s="9"/>
      <c r="E150" s="13"/>
      <c r="F150" s="9"/>
      <c r="G150" s="15"/>
      <c r="H150" s="19"/>
      <c r="I150" s="9"/>
      <c r="J150" s="9"/>
      <c r="K150" s="9"/>
      <c r="L150" s="11"/>
      <c r="M150" s="11"/>
      <c r="N150" s="9"/>
    </row>
  </sheetData>
  <mergeCells count="2">
    <mergeCell ref="A2:N2"/>
    <mergeCell ref="A4:N4"/>
  </mergeCells>
  <phoneticPr fontId="11" type="noConversion"/>
  <conditionalFormatting sqref="G7:G150">
    <cfRule type="containsText" dxfId="3" priority="1" operator="containsText" text="错误"/>
    <cfRule type="containsText" dxfId="2" priority="2" operator="containsText" text="正确"/>
  </conditionalFormatting>
  <conditionalFormatting sqref="N7:N150">
    <cfRule type="containsText" dxfId="1" priority="3" operator="containsText" text="P0"/>
    <cfRule type="containsText" dxfId="0" priority="4" operator="containsText" text="P1"/>
  </conditionalFormatting>
  <dataValidations count="6">
    <dataValidation type="list" sqref="A7:A150" xr:uid="{00000000-0002-0000-0000-000000000000}">
      <formula1>"U01,U02,U03,U04,U05,U06,U07,U08"</formula1>
    </dataValidation>
    <dataValidation type="list" sqref="C7:C150" xr:uid="{00000000-0002-0000-0000-000001000000}">
      <formula1>"A 仅候选,B 候选+评分,C 候选+评分+路径"</formula1>
    </dataValidation>
    <dataValidation type="list" sqref="F7:F150" xr:uid="{00000000-0002-0000-0000-000002000000}">
      <formula1>"接受,驳回,暂缓"</formula1>
    </dataValidation>
    <dataValidation type="list" sqref="I7:K150" xr:uid="{00000000-0002-0000-0000-000003000000}">
      <formula1>"是,否"</formula1>
    </dataValidation>
    <dataValidation type="list" sqref="N7:N150" xr:uid="{00000000-0002-0000-0000-000004000000}">
      <formula1>"P0 阻断,P1 严重,P2 一般,无"</formula1>
    </dataValidation>
    <dataValidation type="whole" sqref="H7:H150" xr:uid="{00000000-0002-0000-0000-000005000000}">
      <formula1>0</formula1>
      <formula2>3600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D87A1"/>
  </sheetPr>
  <dimension ref="A2:H23"/>
  <sheetViews>
    <sheetView showGridLines="0" workbookViewId="0">
      <pane ySplit="5" topLeftCell="A36" activePane="bottomLeft" state="frozen"/>
      <selection pane="bottomLeft"/>
    </sheetView>
  </sheetViews>
  <sheetFormatPr defaultRowHeight="13.8"/>
  <cols>
    <col min="1" max="1" width="11" customWidth="1"/>
    <col min="2" max="2" width="34" customWidth="1"/>
    <col min="3" max="3" width="12" customWidth="1"/>
    <col min="4" max="4" width="40" customWidth="1"/>
    <col min="5" max="5" width="15" customWidth="1"/>
    <col min="6" max="6" width="12" customWidth="1"/>
    <col min="7" max="7" width="45" customWidth="1"/>
    <col min="8" max="8" width="25" customWidth="1"/>
  </cols>
  <sheetData>
    <row r="2" spans="1:8" ht="21">
      <c r="A2" s="24" t="s">
        <v>63</v>
      </c>
      <c r="B2" s="24"/>
      <c r="C2" s="24"/>
      <c r="D2" s="24"/>
      <c r="E2" s="24"/>
      <c r="F2" s="24"/>
      <c r="G2" s="24"/>
      <c r="H2" s="24"/>
    </row>
    <row r="3" spans="1:8">
      <c r="A3" s="1"/>
      <c r="B3" s="1"/>
      <c r="C3" s="1"/>
      <c r="D3" s="1"/>
      <c r="E3" s="1"/>
      <c r="F3" s="1"/>
      <c r="G3" s="1"/>
      <c r="H3" s="1"/>
    </row>
    <row r="5" spans="1:8" ht="15.6">
      <c r="A5" s="4" t="s">
        <v>4</v>
      </c>
      <c r="B5" s="4" t="s">
        <v>5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</row>
    <row r="6" spans="1:8" ht="48" customHeight="1">
      <c r="A6" s="5" t="s">
        <v>17</v>
      </c>
      <c r="B6" s="5" t="s">
        <v>70</v>
      </c>
      <c r="C6" s="6">
        <v>0.89100000000000001</v>
      </c>
      <c r="D6" s="5" t="s">
        <v>71</v>
      </c>
      <c r="E6" s="5" t="s">
        <v>72</v>
      </c>
      <c r="F6" s="5" t="s">
        <v>18</v>
      </c>
      <c r="G6" s="5" t="s">
        <v>73</v>
      </c>
      <c r="H6" s="5" t="s">
        <v>74</v>
      </c>
    </row>
    <row r="7" spans="1:8" ht="48" customHeight="1">
      <c r="A7" s="5" t="s">
        <v>22</v>
      </c>
      <c r="B7" s="5" t="s">
        <v>75</v>
      </c>
      <c r="C7" s="6">
        <v>0.84699999999999998</v>
      </c>
      <c r="D7" s="5" t="s">
        <v>76</v>
      </c>
      <c r="E7" s="5" t="s">
        <v>72</v>
      </c>
      <c r="F7" s="5" t="s">
        <v>18</v>
      </c>
      <c r="G7" s="5" t="s">
        <v>77</v>
      </c>
      <c r="H7" s="5" t="s">
        <v>78</v>
      </c>
    </row>
    <row r="8" spans="1:8" ht="48" customHeight="1">
      <c r="A8" s="5" t="s">
        <v>23</v>
      </c>
      <c r="B8" s="5" t="s">
        <v>79</v>
      </c>
      <c r="C8" s="6">
        <v>0.75600000000000001</v>
      </c>
      <c r="D8" s="5" t="s">
        <v>80</v>
      </c>
      <c r="E8" s="5" t="s">
        <v>81</v>
      </c>
      <c r="F8" s="5" t="s">
        <v>18</v>
      </c>
      <c r="G8" s="5" t="s">
        <v>82</v>
      </c>
      <c r="H8" s="5" t="s">
        <v>83</v>
      </c>
    </row>
    <row r="9" spans="1:8" ht="48" customHeight="1">
      <c r="A9" s="5" t="s">
        <v>24</v>
      </c>
      <c r="B9" s="5" t="s">
        <v>84</v>
      </c>
      <c r="C9" s="6">
        <v>0.438</v>
      </c>
      <c r="D9" s="5" t="s">
        <v>85</v>
      </c>
      <c r="E9" s="5" t="s">
        <v>86</v>
      </c>
      <c r="F9" s="5" t="s">
        <v>18</v>
      </c>
      <c r="G9" s="5" t="s">
        <v>87</v>
      </c>
      <c r="H9" s="5" t="s">
        <v>88</v>
      </c>
    </row>
    <row r="10" spans="1:8" ht="48" customHeight="1">
      <c r="A10" s="5" t="s">
        <v>30</v>
      </c>
      <c r="B10" s="5" t="s">
        <v>89</v>
      </c>
      <c r="C10" s="6">
        <v>0.49099999999999999</v>
      </c>
      <c r="D10" s="5" t="s">
        <v>90</v>
      </c>
      <c r="E10" s="5" t="s">
        <v>86</v>
      </c>
      <c r="F10" s="5" t="s">
        <v>18</v>
      </c>
      <c r="G10" s="5" t="s">
        <v>91</v>
      </c>
      <c r="H10" s="5" t="s">
        <v>88</v>
      </c>
    </row>
    <row r="11" spans="1:8" ht="48" customHeight="1">
      <c r="A11" s="5" t="s">
        <v>31</v>
      </c>
      <c r="B11" s="5" t="s">
        <v>92</v>
      </c>
      <c r="C11" s="6">
        <v>0.52600000000000002</v>
      </c>
      <c r="D11" s="5" t="s">
        <v>93</v>
      </c>
      <c r="E11" s="5" t="s">
        <v>86</v>
      </c>
      <c r="F11" s="5" t="s">
        <v>18</v>
      </c>
      <c r="G11" s="5" t="s">
        <v>94</v>
      </c>
      <c r="H11" s="5" t="s">
        <v>95</v>
      </c>
    </row>
    <row r="12" spans="1:8" ht="48" customHeight="1">
      <c r="A12" s="5" t="s">
        <v>32</v>
      </c>
      <c r="B12" s="5" t="s">
        <v>96</v>
      </c>
      <c r="C12" s="6">
        <v>0.91800000000000004</v>
      </c>
      <c r="D12" s="5" t="s">
        <v>97</v>
      </c>
      <c r="E12" s="5" t="s">
        <v>98</v>
      </c>
      <c r="F12" s="5" t="s">
        <v>34</v>
      </c>
      <c r="G12" s="5" t="s">
        <v>99</v>
      </c>
      <c r="H12" s="5" t="s">
        <v>100</v>
      </c>
    </row>
    <row r="13" spans="1:8" ht="48" customHeight="1">
      <c r="A13" s="5" t="s">
        <v>33</v>
      </c>
      <c r="B13" s="5" t="s">
        <v>101</v>
      </c>
      <c r="C13" s="6">
        <v>0.88700000000000001</v>
      </c>
      <c r="D13" s="5" t="s">
        <v>102</v>
      </c>
      <c r="E13" s="5" t="s">
        <v>98</v>
      </c>
      <c r="F13" s="5" t="s">
        <v>34</v>
      </c>
      <c r="G13" s="5" t="s">
        <v>103</v>
      </c>
      <c r="H13" s="5" t="s">
        <v>104</v>
      </c>
    </row>
    <row r="14" spans="1:8" ht="48" customHeight="1">
      <c r="A14" s="5" t="s">
        <v>35</v>
      </c>
      <c r="B14" s="5" t="s">
        <v>105</v>
      </c>
      <c r="C14" s="6">
        <v>0.86299999999999999</v>
      </c>
      <c r="D14" s="5" t="s">
        <v>106</v>
      </c>
      <c r="E14" s="5" t="s">
        <v>98</v>
      </c>
      <c r="F14" s="5" t="s">
        <v>34</v>
      </c>
      <c r="G14" s="5" t="s">
        <v>82</v>
      </c>
      <c r="H14" s="5" t="s">
        <v>107</v>
      </c>
    </row>
    <row r="15" spans="1:8" ht="48" customHeight="1">
      <c r="A15" s="5" t="s">
        <v>36</v>
      </c>
      <c r="B15" s="5" t="s">
        <v>108</v>
      </c>
      <c r="C15" s="6">
        <v>0.82099999999999995</v>
      </c>
      <c r="D15" s="5" t="s">
        <v>109</v>
      </c>
      <c r="E15" s="5" t="s">
        <v>110</v>
      </c>
      <c r="F15" s="5" t="s">
        <v>34</v>
      </c>
      <c r="G15" s="5" t="s">
        <v>111</v>
      </c>
      <c r="H15" s="5" t="s">
        <v>112</v>
      </c>
    </row>
    <row r="16" spans="1:8" ht="48" customHeight="1">
      <c r="A16" s="5" t="s">
        <v>37</v>
      </c>
      <c r="B16" s="5" t="s">
        <v>113</v>
      </c>
      <c r="C16" s="6">
        <v>0.73399999999999999</v>
      </c>
      <c r="D16" s="5" t="s">
        <v>114</v>
      </c>
      <c r="E16" s="5" t="s">
        <v>115</v>
      </c>
      <c r="F16" s="5" t="s">
        <v>34</v>
      </c>
      <c r="G16" s="5" t="s">
        <v>116</v>
      </c>
      <c r="H16" s="5" t="s">
        <v>117</v>
      </c>
    </row>
    <row r="17" spans="1:8" ht="48" customHeight="1">
      <c r="A17" s="5" t="s">
        <v>38</v>
      </c>
      <c r="B17" s="5" t="s">
        <v>118</v>
      </c>
      <c r="C17" s="6">
        <v>0.70099999999999996</v>
      </c>
      <c r="D17" s="5" t="s">
        <v>119</v>
      </c>
      <c r="E17" s="5" t="s">
        <v>120</v>
      </c>
      <c r="F17" s="5" t="s">
        <v>34</v>
      </c>
      <c r="G17" s="5" t="s">
        <v>121</v>
      </c>
      <c r="H17" s="5" t="s">
        <v>122</v>
      </c>
    </row>
    <row r="18" spans="1:8" ht="48" customHeight="1">
      <c r="A18" s="5" t="s">
        <v>39</v>
      </c>
      <c r="B18" s="5" t="s">
        <v>123</v>
      </c>
      <c r="C18" s="6">
        <v>0.68400000000000005</v>
      </c>
      <c r="D18" s="5" t="s">
        <v>124</v>
      </c>
      <c r="E18" s="5" t="s">
        <v>125</v>
      </c>
      <c r="F18" s="5" t="s">
        <v>18</v>
      </c>
      <c r="G18" s="5" t="s">
        <v>126</v>
      </c>
      <c r="H18" s="5" t="s">
        <v>127</v>
      </c>
    </row>
    <row r="19" spans="1:8" ht="48" customHeight="1">
      <c r="A19" s="5" t="s">
        <v>40</v>
      </c>
      <c r="B19" s="5" t="s">
        <v>128</v>
      </c>
      <c r="C19" s="6">
        <v>0.61799999999999999</v>
      </c>
      <c r="D19" s="5" t="s">
        <v>124</v>
      </c>
      <c r="E19" s="5" t="s">
        <v>125</v>
      </c>
      <c r="F19" s="5" t="s">
        <v>18</v>
      </c>
      <c r="G19" s="5" t="s">
        <v>129</v>
      </c>
      <c r="H19" s="5" t="s">
        <v>130</v>
      </c>
    </row>
    <row r="20" spans="1:8" ht="48" customHeight="1">
      <c r="A20" s="5" t="s">
        <v>41</v>
      </c>
      <c r="B20" s="5" t="s">
        <v>131</v>
      </c>
      <c r="C20" s="6">
        <v>0.67300000000000004</v>
      </c>
      <c r="D20" s="5" t="s">
        <v>124</v>
      </c>
      <c r="E20" s="5" t="s">
        <v>132</v>
      </c>
      <c r="F20" s="5" t="s">
        <v>34</v>
      </c>
      <c r="G20" s="5" t="s">
        <v>133</v>
      </c>
      <c r="H20" s="5" t="s">
        <v>134</v>
      </c>
    </row>
    <row r="21" spans="1:8" ht="48" customHeight="1">
      <c r="A21" s="5" t="s">
        <v>42</v>
      </c>
      <c r="B21" s="5" t="s">
        <v>135</v>
      </c>
      <c r="C21" s="6">
        <v>0.88200000000000001</v>
      </c>
      <c r="D21" s="5" t="s">
        <v>136</v>
      </c>
      <c r="E21" s="5" t="s">
        <v>137</v>
      </c>
      <c r="F21" s="5" t="s">
        <v>25</v>
      </c>
      <c r="G21" s="5" t="s">
        <v>138</v>
      </c>
      <c r="H21" s="5" t="s">
        <v>139</v>
      </c>
    </row>
    <row r="22" spans="1:8" ht="48" customHeight="1">
      <c r="A22" s="5" t="s">
        <v>43</v>
      </c>
      <c r="B22" s="5" t="s">
        <v>140</v>
      </c>
      <c r="C22" s="6">
        <v>0.79100000000000004</v>
      </c>
      <c r="D22" s="5" t="s">
        <v>141</v>
      </c>
      <c r="E22" s="5" t="s">
        <v>142</v>
      </c>
      <c r="F22" s="5" t="s">
        <v>25</v>
      </c>
      <c r="G22" s="5" t="s">
        <v>143</v>
      </c>
      <c r="H22" s="5" t="s">
        <v>144</v>
      </c>
    </row>
    <row r="23" spans="1:8" ht="48" customHeight="1">
      <c r="A23" s="5" t="s">
        <v>44</v>
      </c>
      <c r="B23" s="5" t="s">
        <v>145</v>
      </c>
      <c r="C23" s="6">
        <v>0.83599999999999997</v>
      </c>
      <c r="D23" s="5" t="s">
        <v>146</v>
      </c>
      <c r="E23" s="5" t="s">
        <v>147</v>
      </c>
      <c r="F23" s="5" t="s">
        <v>25</v>
      </c>
      <c r="G23" s="5" t="s">
        <v>148</v>
      </c>
      <c r="H23" s="5" t="s">
        <v>147</v>
      </c>
    </row>
  </sheetData>
  <mergeCells count="1">
    <mergeCell ref="A2:H2"/>
  </mergeCells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AA8B3"/>
  </sheetPr>
  <dimension ref="A2:H11"/>
  <sheetViews>
    <sheetView showGridLines="0" workbookViewId="0">
      <selection activeCell="B26" sqref="B26"/>
    </sheetView>
  </sheetViews>
  <sheetFormatPr defaultRowHeight="13.8"/>
  <cols>
    <col min="1" max="1" width="18" customWidth="1"/>
    <col min="2" max="2" width="72" customWidth="1"/>
  </cols>
  <sheetData>
    <row r="2" spans="1:8" ht="23.4">
      <c r="A2" s="26" t="s">
        <v>149</v>
      </c>
      <c r="B2" s="26"/>
      <c r="C2" s="26"/>
      <c r="D2" s="26"/>
      <c r="E2" s="26"/>
      <c r="F2" s="26"/>
      <c r="G2" s="26"/>
      <c r="H2" s="26"/>
    </row>
    <row r="3" spans="1:8">
      <c r="A3" s="1"/>
      <c r="B3" s="1"/>
      <c r="C3" s="1"/>
      <c r="D3" s="1"/>
      <c r="E3" s="1"/>
      <c r="F3" s="1"/>
      <c r="G3" s="1"/>
      <c r="H3" s="1"/>
    </row>
    <row r="5" spans="1:8" ht="34.049999999999997" customHeight="1">
      <c r="A5" s="2" t="s">
        <v>150</v>
      </c>
      <c r="B5" s="3" t="s">
        <v>151</v>
      </c>
    </row>
    <row r="6" spans="1:8" ht="34.049999999999997" customHeight="1">
      <c r="A6" s="2" t="s">
        <v>152</v>
      </c>
      <c r="B6" s="3" t="s">
        <v>153</v>
      </c>
    </row>
    <row r="7" spans="1:8" ht="34.049999999999997" customHeight="1">
      <c r="A7" s="2" t="s">
        <v>6</v>
      </c>
      <c r="B7" s="3" t="s">
        <v>154</v>
      </c>
    </row>
    <row r="8" spans="1:8" ht="34.049999999999997" customHeight="1">
      <c r="A8" s="2" t="s">
        <v>155</v>
      </c>
      <c r="B8" s="3" t="s">
        <v>156</v>
      </c>
    </row>
    <row r="9" spans="1:8" ht="34.049999999999997" customHeight="1">
      <c r="A9" s="2" t="s">
        <v>157</v>
      </c>
      <c r="B9" s="3" t="s">
        <v>158</v>
      </c>
    </row>
    <row r="10" spans="1:8" ht="34.049999999999997" customHeight="1">
      <c r="A10" s="2" t="s">
        <v>159</v>
      </c>
      <c r="B10" s="3" t="s">
        <v>160</v>
      </c>
    </row>
    <row r="11" spans="1:8" ht="34.049999999999997" customHeight="1">
      <c r="A11" s="2" t="s">
        <v>161</v>
      </c>
      <c r="B11" s="3" t="s">
        <v>162</v>
      </c>
    </row>
  </sheetData>
  <mergeCells count="1">
    <mergeCell ref="A2:H2"/>
  </mergeCells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97706"/>
  </sheetPr>
  <dimension ref="A2:H25"/>
  <sheetViews>
    <sheetView showFormulas="1" showGridLines="0" topLeftCell="A13" workbookViewId="0">
      <selection activeCell="D31" sqref="D31"/>
    </sheetView>
  </sheetViews>
  <sheetFormatPr defaultRowHeight="13.8"/>
  <cols>
    <col min="1" max="1" width="28" customWidth="1"/>
    <col min="2" max="2" width="62" customWidth="1"/>
    <col min="3" max="5" width="18" customWidth="1"/>
  </cols>
  <sheetData>
    <row r="2" spans="1:8" ht="23.4">
      <c r="A2" s="26" t="s">
        <v>188</v>
      </c>
      <c r="B2" s="26"/>
      <c r="C2" s="26"/>
      <c r="D2" s="26"/>
      <c r="E2" s="26"/>
      <c r="F2" s="26"/>
      <c r="G2" s="26"/>
      <c r="H2" s="26"/>
    </row>
    <row r="3" spans="1:8">
      <c r="A3" s="1"/>
      <c r="B3" s="1"/>
      <c r="C3" s="1"/>
      <c r="D3" s="1"/>
      <c r="E3" s="1"/>
      <c r="F3" s="1"/>
      <c r="G3" s="1"/>
      <c r="H3" s="1"/>
    </row>
    <row r="4" spans="1:8" ht="37.950000000000003" customHeight="1">
      <c r="A4" s="27" t="s">
        <v>187</v>
      </c>
      <c r="B4" s="27"/>
      <c r="C4" s="27"/>
      <c r="D4" s="27"/>
      <c r="E4" s="27"/>
      <c r="F4" s="27"/>
      <c r="G4" s="27"/>
      <c r="H4" s="27"/>
    </row>
    <row r="6" spans="1:8" ht="15.6">
      <c r="A6" s="20" t="s">
        <v>163</v>
      </c>
      <c r="B6" s="20" t="s">
        <v>164</v>
      </c>
    </row>
    <row r="7" spans="1:8" ht="15">
      <c r="A7" s="21" t="s">
        <v>189</v>
      </c>
      <c r="B7" s="21">
        <v>6</v>
      </c>
    </row>
    <row r="8" spans="1:8" ht="15">
      <c r="A8" s="21" t="s">
        <v>165</v>
      </c>
      <c r="B8" s="21">
        <v>108</v>
      </c>
    </row>
    <row r="9" spans="1:8" ht="15">
      <c r="A9" s="21" t="s">
        <v>166</v>
      </c>
      <c r="B9" s="22">
        <f>COUNTIF(测试记录!$G$7:$G$114,"正确")/COUNTA(测试记录!$D$7:$D$114)</f>
        <v>0.80555555555555558</v>
      </c>
    </row>
    <row r="10" spans="1:8" ht="15">
      <c r="A10" s="21" t="s">
        <v>167</v>
      </c>
      <c r="B10" s="23">
        <f>AVERAGE(测试记录!$H$7:$H$114)</f>
        <v>35.333333333333336</v>
      </c>
    </row>
    <row r="12" spans="1:8" ht="15.6">
      <c r="A12" s="20" t="s">
        <v>3</v>
      </c>
      <c r="B12" s="20" t="s">
        <v>168</v>
      </c>
      <c r="C12" s="20" t="s">
        <v>169</v>
      </c>
      <c r="D12" s="20" t="s">
        <v>170</v>
      </c>
      <c r="E12" s="20" t="s">
        <v>171</v>
      </c>
    </row>
    <row r="13" spans="1:8" ht="15">
      <c r="A13" s="21" t="s">
        <v>16</v>
      </c>
      <c r="B13" s="21">
        <v>2</v>
      </c>
      <c r="C13" s="21">
        <f>COUNTIF(测试记录!$C$7:$C$114,A13)</f>
        <v>36</v>
      </c>
      <c r="D13" s="22">
        <f>COUNTIFS(测试记录!$C$7:$C$114,A13,测试记录!$G$7:$G$114,"正确")/C13</f>
        <v>0.75</v>
      </c>
      <c r="E13" s="23">
        <f>AVERAGEIFS(测试记录!$H$7:$H$114,测试记录!$C$7:$C$114,A13)</f>
        <v>40</v>
      </c>
    </row>
    <row r="14" spans="1:8" ht="15">
      <c r="A14" s="21" t="s">
        <v>46</v>
      </c>
      <c r="B14" s="21">
        <v>2</v>
      </c>
      <c r="C14" s="21">
        <f>COUNTIF(测试记录!$C$7:$C$114,A14)</f>
        <v>36</v>
      </c>
      <c r="D14" s="22">
        <f>COUNTIFS(测试记录!$C$7:$C$114,A14,测试记录!$G$7:$G$114,"正确")/C14</f>
        <v>0.80555555555555558</v>
      </c>
      <c r="E14" s="23">
        <f>AVERAGEIFS(测试记录!$H$7:$H$114,测试记录!$C$7:$C$114,A14)</f>
        <v>33</v>
      </c>
    </row>
    <row r="15" spans="1:8" ht="15">
      <c r="A15" s="21" t="s">
        <v>52</v>
      </c>
      <c r="B15" s="21">
        <v>2</v>
      </c>
      <c r="C15" s="21">
        <f>COUNTIF(测试记录!$C$7:$C$114,A15)</f>
        <v>36</v>
      </c>
      <c r="D15" s="22">
        <f>COUNTIFS(测试记录!$C$7:$C$114,A15,测试记录!$G$7:$G$114,"正确")/C15</f>
        <v>0.86111111111111116</v>
      </c>
      <c r="E15" s="23">
        <f>AVERAGEIFS(测试记录!$H$7:$H$114,测试记录!$C$7:$C$114,A15)</f>
        <v>33</v>
      </c>
    </row>
    <row r="16" spans="1:8" ht="15">
      <c r="A16" s="21" t="s">
        <v>172</v>
      </c>
      <c r="B16" s="21">
        <v>6</v>
      </c>
      <c r="C16" s="21">
        <v>108</v>
      </c>
      <c r="D16" s="22">
        <f>COUNTIF(测试记录!$G$7:$G$114,"正确")/C16</f>
        <v>0.80555555555555558</v>
      </c>
      <c r="E16" s="23">
        <f>AVERAGE(测试记录!$H$7:$H$114)</f>
        <v>35.333333333333336</v>
      </c>
    </row>
    <row r="18" spans="1:2" ht="15.6">
      <c r="A18" s="20" t="s">
        <v>173</v>
      </c>
      <c r="B18" s="20" t="s">
        <v>174</v>
      </c>
    </row>
    <row r="19" spans="1:2" ht="37.950000000000003" customHeight="1">
      <c r="A19" s="21" t="s">
        <v>175</v>
      </c>
      <c r="B19" s="21" t="s">
        <v>176</v>
      </c>
    </row>
    <row r="20" spans="1:2" ht="37.950000000000003" customHeight="1">
      <c r="A20" s="21" t="s">
        <v>177</v>
      </c>
      <c r="B20" s="21" t="s">
        <v>178</v>
      </c>
    </row>
    <row r="21" spans="1:2" ht="37.950000000000003" customHeight="1">
      <c r="A21" s="21" t="s">
        <v>179</v>
      </c>
      <c r="B21" s="21" t="s">
        <v>180</v>
      </c>
    </row>
    <row r="22" spans="1:2" ht="37.950000000000003" customHeight="1">
      <c r="A22" s="21" t="s">
        <v>181</v>
      </c>
      <c r="B22" s="21" t="s">
        <v>182</v>
      </c>
    </row>
    <row r="23" spans="1:2" ht="37.950000000000003" customHeight="1"/>
    <row r="24" spans="1:2" ht="37.950000000000003" customHeight="1">
      <c r="A24" s="20" t="s">
        <v>183</v>
      </c>
      <c r="B24" s="20" t="s">
        <v>184</v>
      </c>
    </row>
    <row r="25" spans="1:2" ht="37.950000000000003" customHeight="1">
      <c r="A25" s="21" t="s">
        <v>185</v>
      </c>
      <c r="B25" s="21" t="s">
        <v>186</v>
      </c>
    </row>
  </sheetData>
  <mergeCells count="2">
    <mergeCell ref="A2:H2"/>
    <mergeCell ref="A4:H4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测试记录</vt:lpstr>
      <vt:lpstr>题目索引</vt:lpstr>
      <vt:lpstr>使用说明</vt:lpstr>
      <vt:lpstr>模拟结果摘要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yaya jiang</cp:lastModifiedBy>
  <dcterms:modified xsi:type="dcterms:W3CDTF">2026-10-03T08:15:03Z</dcterms:modified>
</cp:coreProperties>
</file>